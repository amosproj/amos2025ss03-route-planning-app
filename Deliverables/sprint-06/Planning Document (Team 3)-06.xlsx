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DoD Definitions" sheetId="8" r:id="rId10"/>
    <sheet state="visible" name="Velocity Tracking" sheetId="9" r:id="rId11"/>
    <sheet state="visible" name="Velocity Chart" sheetId="10" r:id="rId12"/>
    <sheet state="visible" name="Mid-Project Release plan" sheetId="11" r:id="rId13"/>
    <sheet state="visible" name="Burndown Chart" sheetId="12" r:id="rId14"/>
    <sheet state="visible" name="Final Project Release plan"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<sst xmlns="http://schemas.openxmlformats.org/spreadsheetml/2006/main" count="365" uniqueCount="260">
  <si>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</si>
  <si>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</si>
  <si>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</si>
  <si>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</si>
  <si>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</si>
  <si>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</si>
  <si>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</si>
  <si>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</si>
  <si>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</si>
  <si>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</si>
  <si>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</si>
  <si>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</si>
  <si>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</si>
  <si>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</si>
  <si>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</si>
  <si>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</si>
  <si>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</si>
  <si>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</si>
  <si>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</si>
  <si>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</si>
  <si>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</si>
  <si>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</si>
  <si>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</si>
  <si>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</si>
  <si>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</si>
  <si>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</si>
  <si>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</si>
  <si>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</si>
  <si>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</si>
  <si>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</si>
  <si>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</si>
  <si>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</si>
  <si>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</si>
  <si>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</si>
  <si>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</si>
  <si>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</si>
  <si>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</si>
  <si>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</si>
  <si>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</si>
  <si>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</si>
  <si>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</si>
  <si>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</si>
  <si>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</si>
  <si>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</si>
  <si>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</si>
  <si>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</si>
  <si>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</si>
  <si>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</si>
  <si>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</si>
  <si>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</si>
  <si>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</si>
  <si>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</si>
  <si>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</si>
  <si>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</si>
  <si>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</si>
  <si>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</si>
  <si>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</si>
  <si>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</si>
  <si>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</si>
  <si>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</si>
  <si>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</si>
  <si>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</si>
  <si>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</si>
  <si>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</si>
  <si>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</si>
  <si>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</si>
  <si>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</si>
  <si>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</si>
  <si>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</si>
  <si>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</si>
  <si>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</si>
  <si>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</si>
  <si>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</si>
  <si>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</si>
  <si>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t>
  </si>
  <si>
    <t>Retrospective</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</si>
  <si>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</si>
  <si>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</si>
  <si>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</si>
  <si>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</si>
  <si>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</si>
  <si>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</si>
  <si>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</si>
  <si>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</si>
  <si>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</si>
  <si>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</si>
  <si>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</si>
  <si>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</si>
  <si>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</si>
  <si>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</si>
  <si>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</si>
  <si>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</si>
  <si>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</si>
  <si>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</si>
  <si>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</si>
  <si>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</si>
  <si>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</si>
  <si>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</si>
  <si>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</si>
  <si>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</si>
  <si>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</si>
  <si>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</si>
  <si>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</si>
  <si>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</si>
  <si>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</si>
  <si>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</si>
  <si>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</si>
  <si>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</si>
  <si>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</si>
  <si>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</si>
  <si>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</si>
  <si>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</si>
  <si>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</si>
  <si>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</si>
  <si>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</si>
  <si>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</si>
  <si>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</si>
  <si>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</si>
  <si>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</si>
  <si>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</si>
  <si>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</si>
  <si>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</si>
  <si>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</si>
  <si>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</si>
  <si>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</si>
  <si>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</si>
  <si>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</si>
  <si>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</si>
  <si>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</si>
  <si>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</si>
  <si>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</si>
  <si>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</si>
  <si>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</si>
  <si>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</si>
  <si>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</si>
  <si>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</si>
  <si>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</si>
  <si>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</si>
  <si>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</si>
  <si>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</si>
  <si>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</si>
  <si>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</si>
  <si>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</si>
  <si>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</si>
  <si>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</si>
  <si>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</si>
  <si>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</si>
  <si>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</si>
  <si>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feature Specific</t>
  </si>
  <si>
    <t>Sprint Specific</t>
  </si>
  <si>
    <t>Project release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</si>
  <si>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</si>
  <si>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</si>
  <si>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</si>
  <si>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Story Points Realized</t>
  </si>
  <si>
    <t xml:space="preserve">Average </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</si>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</sst>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9">
    <font>
      <sz val="10.0"/>
      <color rgb="FF000000"/>
      <name val="Arial"/>
    </font>
    <font>
      <b/>
    </font>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0">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5" numFmtId="0" xfId="0" applyAlignment="1" applyFont="1">
      <alignment horizontal="left" readingOrder="0" shrinkToFit="0" vertical="bottom" wrapText="0"/>
    </xf>
    <xf borderId="0" fillId="4"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3" fontId="6" numFmtId="0" xfId="0" applyAlignment="1" applyFont="1">
      <alignment readingOrder="0" shrinkToFit="0" vertical="bottom" wrapText="0"/>
    </xf>
    <xf borderId="0" fillId="5" fontId="1" numFmtId="0" xfId="0" applyAlignment="1" applyFont="1">
      <alignment readingOrder="0" shrinkToFit="0" wrapText="0"/>
    </xf>
    <xf borderId="0" fillId="2" fontId="5" numFmtId="0" xfId="0" applyAlignment="1" applyFont="1">
      <alignment shrinkToFit="0" vertical="bottom" wrapText="1"/>
    </xf>
    <xf borderId="0" fillId="7" fontId="5" numFmtId="0" xfId="0" applyAlignment="1" applyFont="1">
      <alignment shrinkToFit="0" vertical="bottom" wrapText="0"/>
    </xf>
    <xf borderId="0" fillId="3" fontId="6" numFmtId="0" xfId="0" applyAlignment="1" applyFont="1">
      <alignment shrinkToFit="0" vertical="bottom" wrapText="1"/>
    </xf>
    <xf borderId="0" fillId="3" fontId="6" numFmtId="0" xfId="0" applyAlignment="1" applyFont="1">
      <alignment horizontal="right" shrinkToFit="0" vertical="bottom" wrapText="0"/>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8" numFmtId="4" xfId="0" applyAlignment="1" applyFont="1" applyNumberFormat="1">
      <alignment horizontal="center" shrinkToFit="0" vertical="center" wrapText="1"/>
    </xf>
    <xf borderId="0" fillId="8" fontId="8"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dPt>
            <c:idx val="2"/>
          </c:dPt>
          <c:dPt>
            <c:idx val="3"/>
          </c:dPt>
          <c:dLbls>
            <c:numFmt formatCode="General" sourceLinked="1"/>
            <c:txPr>
              <a:bodyPr/>
              <a:lstStyle/>
              <a:p>
                <a:pPr lvl="0">
                  <a:defRPr/>
                </a:pPr>
              </a:p>
            </c:txPr>
            <c:showLegendKey val="0"/>
            <c:showVal val="1"/>
            <c:showCatName val="0"/>
            <c:showSerName val="0"/>
            <c:showPercent val="0"/>
            <c:showBubbleSize val="0"/>
          </c:dLbls>
          <c:cat>
            <c:strRef>
              <c:f>('Velocity Tracking'!$A$2:$A$6,'Velocity Tracking'!$B$2:$B$6)</c:f>
            </c:strRef>
          </c:cat>
          <c:val>
            <c:numRef>
              <c:f>('Velocity Tracking'!$A$2:$A$6,'Velocity Tracking'!$B$2:$B$6)</c:f>
              <c:numCache/>
            </c:numRef>
          </c:val>
        </c:ser>
        <c:axId val="114117739"/>
        <c:axId val="1974414551"/>
      </c:barChart>
      <c:catAx>
        <c:axId val="11411773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74414551"/>
      </c:catAx>
      <c:valAx>
        <c:axId val="19744145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4117739"/>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Pt>
            <c:idx val="0"/>
          </c:dPt>
          <c:val>
            <c:numRef>
              <c:f>'Mid-Project Release plan'!$E$10:$E$15</c:f>
              <c:numCache/>
            </c:numRef>
          </c:val>
        </c:ser>
        <c:ser>
          <c:idx val="1"/>
          <c:order val="1"/>
          <c:tx>
            <c:v>Real size</c:v>
          </c:tx>
          <c:spPr>
            <a:solidFill>
              <a:srgbClr val="DB4437"/>
            </a:solidFill>
            <a:ln cmpd="sng">
              <a:solidFill>
                <a:srgbClr val="000000"/>
              </a:solidFill>
            </a:ln>
          </c:spPr>
          <c:val>
            <c:numRef>
              <c:f>'Mid-Project Release plan'!$E$10:$E$15</c:f>
              <c:numCache/>
            </c:numRef>
          </c:val>
        </c:ser>
        <c:ser>
          <c:idx val="2"/>
          <c:order val="2"/>
          <c:val>
            <c:numRef>
              <c:f>'Mid-Project Release plan'!$G$10:$G$15</c:f>
              <c:numCache/>
            </c:numRef>
          </c:val>
        </c:ser>
        <c:ser>
          <c:idx val="3"/>
          <c:order val="3"/>
          <c:val>
            <c:numRef>
              <c:f>'Mid-Project Release plan'!$G$10:$G$15</c:f>
              <c:numCache/>
            </c:numRef>
          </c:val>
        </c:ser>
        <c:axId val="1547721440"/>
        <c:axId val="1041963668"/>
      </c:barChart>
      <c:catAx>
        <c:axId val="154772144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041963668"/>
      </c:catAx>
      <c:valAx>
        <c:axId val="10419636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47721440"/>
      </c:valAx>
    </c:plotArea>
    <c:legend>
      <c:legendPos val="r"/>
      <c:overlay val="0"/>
      <c:txPr>
        <a:bodyPr/>
        <a:lstStyle/>
        <a:p>
          <a:pPr lvl="0">
            <a:defRPr b="0">
              <a:solidFill>
                <a:srgbClr val="000000"/>
              </a:solidFill>
              <a:latin typeface="Roboto"/>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7</xdr:row>
      <xdr:rowOff>9525</xdr:rowOff>
    </xdr:from>
    <xdr:ext cx="60483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733425</xdr:colOff>
      <xdr:row>3</xdr:row>
      <xdr:rowOff>95250</xdr:rowOff>
    </xdr:from>
    <xdr:ext cx="6219825"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ref="A1:G7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45819.0</v>
      </c>
      <c r="C12" s="8" t="s">
        <v>67</v>
      </c>
      <c r="D12" s="8" t="s">
        <v>43</v>
      </c>
      <c r="E12" s="9"/>
      <c r="F12" s="8" t="s">
        <v>27</v>
      </c>
      <c r="G12" s="8" t="s">
        <v>72</v>
      </c>
      <c r="H12" s="16"/>
    </row>
    <row r="13">
      <c r="A13" s="14">
        <v>11.0</v>
      </c>
      <c r="B13" s="17">
        <f t="shared" ref="B13:B17" si="2">B12+7</f>
        <v>45826</v>
      </c>
      <c r="C13" s="8" t="s">
        <v>43</v>
      </c>
      <c r="D13" s="8" t="s">
        <v>67</v>
      </c>
      <c r="E13" s="9"/>
      <c r="F13" s="8" t="s">
        <v>55</v>
      </c>
      <c r="G13" s="8" t="s">
        <v>72</v>
      </c>
      <c r="H13" s="16"/>
    </row>
    <row r="14">
      <c r="A14" s="14">
        <v>12.0</v>
      </c>
      <c r="B14" s="17">
        <f t="shared" si="2"/>
        <v>45833</v>
      </c>
      <c r="C14" s="8" t="s">
        <v>67</v>
      </c>
      <c r="D14" s="8" t="s">
        <v>43</v>
      </c>
      <c r="E14" s="9"/>
      <c r="F14" s="8" t="s">
        <v>71</v>
      </c>
      <c r="G14" s="8" t="s">
        <v>72</v>
      </c>
      <c r="H14" s="16"/>
    </row>
    <row r="15">
      <c r="A15" s="14">
        <v>13.0</v>
      </c>
      <c r="B15" s="17">
        <f t="shared" si="2"/>
        <v>45840</v>
      </c>
      <c r="C15" s="8" t="s">
        <v>43</v>
      </c>
      <c r="D15" s="8" t="s">
        <v>67</v>
      </c>
      <c r="E15" s="9"/>
      <c r="F15" s="8" t="s">
        <v>39</v>
      </c>
      <c r="G15" s="8" t="s">
        <v>72</v>
      </c>
      <c r="H15" s="16"/>
    </row>
    <row r="16">
      <c r="A16" s="14">
        <v>14.0</v>
      </c>
      <c r="B16" s="17">
        <f t="shared" si="2"/>
        <v>45847</v>
      </c>
      <c r="C16" s="8" t="s">
        <v>67</v>
      </c>
      <c r="D16" s="8" t="s">
        <v>43</v>
      </c>
      <c r="E16" s="9"/>
      <c r="F16" s="8" t="s">
        <v>70</v>
      </c>
      <c r="G16" s="8" t="s">
        <v>72</v>
      </c>
      <c r="H16" s="18" t="s">
        <v>74</v>
      </c>
    </row>
    <row r="17">
      <c r="A17" s="14">
        <v>15.0</v>
      </c>
      <c r="B17" s="17">
        <f t="shared" si="2"/>
        <v>45854</v>
      </c>
      <c r="C17" s="8" t="s">
        <v>43</v>
      </c>
      <c r="D17" s="8"/>
      <c r="E17" s="9"/>
      <c r="F17" s="8"/>
      <c r="G17" s="8" t="s">
        <v>72</v>
      </c>
      <c r="H17" s="18" t="s">
        <v>75</v>
      </c>
    </row>
    <row r="18">
      <c r="A18" s="14"/>
      <c r="B18" s="19"/>
      <c r="C18" s="9"/>
      <c r="D18" s="9"/>
      <c r="E18" s="9"/>
      <c r="F18" s="9"/>
      <c r="G18" s="9"/>
      <c r="H18" s="20"/>
    </row>
    <row r="19">
      <c r="A19" s="18" t="s">
        <v>76</v>
      </c>
      <c r="B19" s="21"/>
      <c r="C19" s="22"/>
      <c r="D19" s="22"/>
      <c r="E19" s="22"/>
      <c r="F19" s="22"/>
      <c r="G19" s="22"/>
      <c r="H19" s="20"/>
    </row>
    <row r="20">
      <c r="A20" s="22"/>
      <c r="B20" s="19"/>
      <c r="C20" s="9"/>
      <c r="D20" s="9"/>
      <c r="E20" s="9"/>
      <c r="F20" s="9"/>
      <c r="G20" s="9"/>
      <c r="H20" s="20"/>
    </row>
    <row r="21">
      <c r="A21" s="14"/>
      <c r="B21" s="19"/>
      <c r="C21" s="9"/>
      <c r="D21" s="9"/>
      <c r="E21" s="9"/>
      <c r="F21" s="9"/>
      <c r="G21" s="9"/>
      <c r="H21" s="2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3" t="s">
        <v>77</v>
      </c>
      <c r="B1" s="24" t="s">
        <v>78</v>
      </c>
    </row>
    <row r="2">
      <c r="A2" s="23"/>
      <c r="B2" s="25" t="s">
        <v>79</v>
      </c>
    </row>
    <row r="3">
      <c r="A3" s="26"/>
      <c r="B3" s="27" t="s">
        <v>80</v>
      </c>
    </row>
    <row r="4">
      <c r="A4" s="26"/>
      <c r="B4" s="24" t="s">
        <v>81</v>
      </c>
    </row>
    <row r="5">
      <c r="A5" s="26"/>
      <c r="B5" s="24" t="s">
        <v>82</v>
      </c>
    </row>
    <row r="6">
      <c r="A6" s="26"/>
      <c r="B6" s="24"/>
    </row>
    <row r="7">
      <c r="A7" s="28" t="s">
        <v>83</v>
      </c>
      <c r="B7" s="24" t="s">
        <v>84</v>
      </c>
    </row>
    <row r="8">
      <c r="A8" s="26"/>
      <c r="B8" s="24" t="s">
        <v>85</v>
      </c>
    </row>
    <row r="9">
      <c r="A9" s="26"/>
      <c r="B9" s="24" t="s">
        <v>86</v>
      </c>
    </row>
    <row r="10">
      <c r="A10" s="26"/>
      <c r="B10" s="24" t="s">
        <v>87</v>
      </c>
    </row>
    <row r="11">
      <c r="A11" s="26"/>
      <c r="B11" s="24" t="s">
        <v>88</v>
      </c>
    </row>
    <row r="12">
      <c r="A12" s="26"/>
      <c r="B12" s="24"/>
    </row>
    <row r="13">
      <c r="A13" s="28" t="s">
        <v>89</v>
      </c>
      <c r="B13" s="25" t="s">
        <v>90</v>
      </c>
    </row>
    <row r="14">
      <c r="A14" s="28"/>
      <c r="B14" s="25" t="s">
        <v>91</v>
      </c>
    </row>
    <row r="15">
      <c r="A15" s="26"/>
      <c r="B15" s="27" t="s">
        <v>92</v>
      </c>
    </row>
    <row r="16">
      <c r="A16" s="26"/>
      <c r="B16" s="27" t="s">
        <v>93</v>
      </c>
    </row>
    <row r="17">
      <c r="A17" s="26"/>
      <c r="B17" s="27" t="s">
        <v>94</v>
      </c>
    </row>
    <row r="18">
      <c r="A18" s="26"/>
      <c r="B18" s="27" t="s">
        <v>95</v>
      </c>
    </row>
    <row r="19">
      <c r="A19" s="26"/>
      <c r="B19" s="27" t="s">
        <v>96</v>
      </c>
    </row>
    <row r="20">
      <c r="A20" s="26"/>
      <c r="B20" s="27" t="s">
        <v>97</v>
      </c>
    </row>
    <row r="21">
      <c r="A21" s="26"/>
      <c r="B21" s="27"/>
    </row>
    <row r="22">
      <c r="A22" s="28" t="s">
        <v>98</v>
      </c>
      <c r="B22" s="25" t="s">
        <v>99</v>
      </c>
    </row>
    <row r="23">
      <c r="A23" s="26"/>
      <c r="B23" s="24" t="s">
        <v>100</v>
      </c>
    </row>
    <row r="24">
      <c r="A24" s="26"/>
      <c r="B24" s="24" t="s">
        <v>101</v>
      </c>
    </row>
    <row r="25">
      <c r="A25" s="26"/>
      <c r="B25" s="24" t="s">
        <v>102</v>
      </c>
    </row>
    <row r="26">
      <c r="A26" s="26"/>
      <c r="B26" s="24"/>
    </row>
    <row r="27">
      <c r="A27" s="28" t="s">
        <v>103</v>
      </c>
      <c r="B27" s="25" t="s">
        <v>104</v>
      </c>
    </row>
    <row r="28">
      <c r="A28" s="28"/>
      <c r="B28" s="25" t="s">
        <v>105</v>
      </c>
    </row>
    <row r="29">
      <c r="A29" s="26"/>
      <c r="B29" s="27" t="s">
        <v>106</v>
      </c>
    </row>
    <row r="30">
      <c r="A30" s="26"/>
      <c r="B30" s="24" t="s">
        <v>107</v>
      </c>
    </row>
    <row r="31">
      <c r="A31" s="26"/>
      <c r="B31" s="24" t="s">
        <v>108</v>
      </c>
    </row>
    <row r="32">
      <c r="A32" s="26"/>
      <c r="B32" s="24" t="s">
        <v>109</v>
      </c>
    </row>
    <row r="33">
      <c r="A33" s="26"/>
      <c r="B33" s="24" t="s">
        <v>110</v>
      </c>
    </row>
    <row r="34">
      <c r="A34" s="26"/>
      <c r="B34" s="24" t="s">
        <v>111</v>
      </c>
    </row>
    <row r="35">
      <c r="A35" s="26"/>
      <c r="B35" s="24"/>
    </row>
    <row r="36">
      <c r="A36" s="28" t="s">
        <v>112</v>
      </c>
      <c r="B36" s="25" t="s">
        <v>113</v>
      </c>
    </row>
    <row r="37">
      <c r="A37" s="29"/>
      <c r="B37" s="24" t="s">
        <v>114</v>
      </c>
    </row>
    <row r="38">
      <c r="A38" s="29"/>
      <c r="B38" s="24" t="s">
        <v>115</v>
      </c>
    </row>
    <row r="39">
      <c r="A39" s="29"/>
      <c r="B39" s="29"/>
    </row>
    <row r="40">
      <c r="A40" s="28" t="s">
        <v>116</v>
      </c>
      <c r="B40" s="25" t="s">
        <v>117</v>
      </c>
    </row>
    <row r="41">
      <c r="A41" s="29"/>
      <c r="B41" s="24" t="s">
        <v>118</v>
      </c>
    </row>
    <row r="42">
      <c r="A42" s="29"/>
      <c r="B42" s="24"/>
    </row>
    <row r="43">
      <c r="A43" s="30" t="s">
        <v>119</v>
      </c>
      <c r="B43" s="31"/>
    </row>
    <row r="44">
      <c r="A44" s="30"/>
      <c r="B44" s="25" t="s">
        <v>120</v>
      </c>
    </row>
    <row r="45">
      <c r="A45" s="29"/>
      <c r="B45" s="29"/>
    </row>
    <row r="46">
      <c r="A46" s="30" t="s">
        <v>121</v>
      </c>
      <c r="B46" s="25"/>
    </row>
    <row r="47">
      <c r="A47" s="29"/>
      <c r="B47" s="24" t="s">
        <v>122</v>
      </c>
    </row>
    <row r="48">
      <c r="A48" s="29"/>
      <c r="B48" s="24" t="s">
        <v>123</v>
      </c>
    </row>
    <row r="49">
      <c r="A49" s="28" t="s">
        <v>124</v>
      </c>
      <c r="B49" s="30"/>
    </row>
    <row r="51">
      <c r="A51" s="32" t="s">
        <v>65</v>
      </c>
      <c r="B51" s="27" t="s">
        <v>125</v>
      </c>
    </row>
    <row r="52">
      <c r="A52" s="32" t="s">
        <v>126</v>
      </c>
      <c r="B52" s="27" t="s">
        <v>127</v>
      </c>
    </row>
    <row r="53">
      <c r="A53" s="32" t="s">
        <v>126</v>
      </c>
      <c r="B53" s="27" t="s">
        <v>128</v>
      </c>
    </row>
    <row r="54">
      <c r="A54" s="32" t="s">
        <v>129</v>
      </c>
      <c r="B54" s="27"/>
    </row>
    <row r="55">
      <c r="A55" s="32" t="s">
        <v>129</v>
      </c>
      <c r="B55" s="27" t="s">
        <v>130</v>
      </c>
    </row>
    <row r="56">
      <c r="A56" s="32" t="s">
        <v>129</v>
      </c>
      <c r="B56" s="27" t="s">
        <v>131</v>
      </c>
    </row>
    <row r="57">
      <c r="A57" s="32" t="s">
        <v>129</v>
      </c>
      <c r="B57" s="27" t="s">
        <v>132</v>
      </c>
    </row>
    <row r="58">
      <c r="A58" s="32" t="s">
        <v>129</v>
      </c>
      <c r="B58" s="27" t="s">
        <v>133</v>
      </c>
    </row>
    <row r="59">
      <c r="A59" s="32" t="s">
        <v>129</v>
      </c>
      <c r="B59" s="27" t="s">
        <v>134</v>
      </c>
    </row>
    <row r="60">
      <c r="A60" s="27" t="s">
        <v>129</v>
      </c>
      <c r="B60" s="27" t="s">
        <v>135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3" t="s">
        <v>136</v>
      </c>
      <c r="B1" s="33" t="s">
        <v>137</v>
      </c>
    </row>
    <row r="2">
      <c r="A2" s="34"/>
      <c r="B2" s="35"/>
    </row>
    <row r="3">
      <c r="A3" s="36" t="s">
        <v>138</v>
      </c>
      <c r="B3" s="36"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7" t="s">
        <v>140</v>
      </c>
      <c r="B1" s="37" t="s">
        <v>141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8" t="s">
        <v>142</v>
      </c>
      <c r="B1" s="4" t="s">
        <v>143</v>
      </c>
    </row>
    <row r="2">
      <c r="A2" s="39">
        <v>1.0</v>
      </c>
      <c r="B2" s="27" t="s">
        <v>144</v>
      </c>
    </row>
    <row r="3">
      <c r="A3" s="39">
        <f t="shared" ref="A3:A16" si="1">A2+1</f>
        <v>2</v>
      </c>
      <c r="B3" s="27" t="s">
        <v>144</v>
      </c>
    </row>
    <row r="4">
      <c r="A4" s="39">
        <f t="shared" si="1"/>
        <v>3</v>
      </c>
      <c r="B4" s="27" t="s">
        <v>144</v>
      </c>
    </row>
    <row r="5">
      <c r="A5" s="39">
        <f t="shared" si="1"/>
        <v>4</v>
      </c>
      <c r="B5" s="27" t="s">
        <v>144</v>
      </c>
    </row>
    <row r="6">
      <c r="A6" s="39">
        <f t="shared" si="1"/>
        <v>5</v>
      </c>
      <c r="B6" s="27" t="s">
        <v>145</v>
      </c>
    </row>
    <row r="7">
      <c r="A7" s="39">
        <f t="shared" si="1"/>
        <v>6</v>
      </c>
      <c r="B7" s="27" t="s">
        <v>146</v>
      </c>
    </row>
    <row r="8">
      <c r="A8" s="39">
        <f t="shared" si="1"/>
        <v>7</v>
      </c>
      <c r="B8" s="2" t="s">
        <v>147</v>
      </c>
    </row>
    <row r="9">
      <c r="A9" s="39">
        <f t="shared" si="1"/>
        <v>8</v>
      </c>
      <c r="B9" s="3"/>
    </row>
    <row r="10">
      <c r="A10" s="39">
        <f t="shared" si="1"/>
        <v>9</v>
      </c>
      <c r="B10" s="3"/>
    </row>
    <row r="11">
      <c r="A11" s="39">
        <f t="shared" si="1"/>
        <v>10</v>
      </c>
      <c r="B11" s="3"/>
    </row>
    <row r="12">
      <c r="A12" s="39">
        <f t="shared" si="1"/>
        <v>11</v>
      </c>
      <c r="B12" s="3"/>
    </row>
    <row r="13">
      <c r="A13" s="39">
        <f t="shared" si="1"/>
        <v>12</v>
      </c>
      <c r="B13" s="3"/>
    </row>
    <row r="14">
      <c r="A14" s="39">
        <f t="shared" si="1"/>
        <v>13</v>
      </c>
      <c r="B14" s="3"/>
    </row>
    <row r="15">
      <c r="A15" s="39">
        <f t="shared" si="1"/>
        <v>14</v>
      </c>
      <c r="B15" s="3"/>
    </row>
    <row r="16">
      <c r="A16" s="39">
        <f t="shared" si="1"/>
        <v>15</v>
      </c>
      <c r="B16" s="3"/>
    </row>
    <row r="17">
      <c r="A17" s="39"/>
      <c r="B17" s="3"/>
    </row>
    <row r="18">
      <c r="A18" s="39"/>
      <c r="B18" s="3"/>
    </row>
    <row r="19">
      <c r="A19" s="40"/>
      <c r="B19" s="3"/>
    </row>
    <row r="20">
      <c r="A20" s="40"/>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0.38"/>
    <col customWidth="1" min="2" max="2" width="56.13"/>
    <col customWidth="1" min="3" max="3" width="54.75"/>
  </cols>
  <sheetData>
    <row r="1">
      <c r="A1" s="27" t="s">
        <v>148</v>
      </c>
      <c r="B1" s="27" t="s">
        <v>149</v>
      </c>
      <c r="C1" s="27" t="s">
        <v>150</v>
      </c>
    </row>
    <row r="2" ht="234.75" customHeight="1">
      <c r="A2" s="27" t="s">
        <v>151</v>
      </c>
      <c r="B2" s="27" t="s">
        <v>152</v>
      </c>
      <c r="C2" s="27" t="s">
        <v>153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8" t="s">
        <v>142</v>
      </c>
      <c r="B1" s="4" t="s">
        <v>154</v>
      </c>
      <c r="C1" s="4" t="s">
        <v>155</v>
      </c>
    </row>
    <row r="2">
      <c r="A2" s="39">
        <v>1.0</v>
      </c>
      <c r="B2" s="2"/>
      <c r="C2" s="2"/>
    </row>
    <row r="3">
      <c r="A3" s="39">
        <f t="shared" ref="A3:A16" si="1">A2+1</f>
        <v>2</v>
      </c>
      <c r="B3" s="2">
        <f>SUM('Mid-Project Release plan'!F24:F27)</f>
        <v>11</v>
      </c>
      <c r="C3" s="2"/>
    </row>
    <row r="4">
      <c r="A4" s="39">
        <f t="shared" si="1"/>
        <v>3</v>
      </c>
      <c r="B4" s="2">
        <f>SUM('Mid-Project Release plan'!F29:F40)</f>
        <v>39</v>
      </c>
      <c r="C4" s="2"/>
    </row>
    <row r="5">
      <c r="A5" s="39">
        <f t="shared" si="1"/>
        <v>4</v>
      </c>
      <c r="B5" s="2">
        <f>SUM('Mid-Project Release plan'!F41:F48)</f>
        <v>37</v>
      </c>
      <c r="C5" s="2"/>
    </row>
    <row r="6">
      <c r="A6" s="39">
        <f t="shared" si="1"/>
        <v>5</v>
      </c>
      <c r="B6" s="2">
        <f>SUM('Mid-Project Release plan'!F49:F53)</f>
        <v>37</v>
      </c>
      <c r="C6" s="2"/>
    </row>
    <row r="7">
      <c r="A7" s="39">
        <f t="shared" si="1"/>
        <v>6</v>
      </c>
      <c r="B7" s="2">
        <v>0.0</v>
      </c>
      <c r="C7" s="2"/>
    </row>
    <row r="8">
      <c r="A8" s="39">
        <f t="shared" si="1"/>
        <v>7</v>
      </c>
      <c r="B8" s="3"/>
      <c r="C8" s="3"/>
    </row>
    <row r="9">
      <c r="A9" s="39">
        <f t="shared" si="1"/>
        <v>8</v>
      </c>
      <c r="B9" s="3"/>
      <c r="C9" s="3"/>
    </row>
    <row r="10">
      <c r="A10" s="39">
        <f t="shared" si="1"/>
        <v>9</v>
      </c>
      <c r="B10" s="3"/>
      <c r="C10" s="3"/>
    </row>
    <row r="11">
      <c r="A11" s="39">
        <f t="shared" si="1"/>
        <v>10</v>
      </c>
      <c r="B11" s="3"/>
      <c r="C11" s="3"/>
    </row>
    <row r="12">
      <c r="A12" s="39">
        <f t="shared" si="1"/>
        <v>11</v>
      </c>
      <c r="B12" s="3"/>
      <c r="C12" s="3"/>
    </row>
    <row r="13">
      <c r="A13" s="39">
        <f t="shared" si="1"/>
        <v>12</v>
      </c>
      <c r="B13" s="3"/>
      <c r="C13" s="3"/>
    </row>
    <row r="14">
      <c r="A14" s="39">
        <f t="shared" si="1"/>
        <v>13</v>
      </c>
      <c r="B14" s="3"/>
      <c r="C14" s="3"/>
    </row>
    <row r="15">
      <c r="A15" s="39">
        <f t="shared" si="1"/>
        <v>14</v>
      </c>
      <c r="B15" s="3"/>
      <c r="C15" s="3"/>
    </row>
    <row r="16">
      <c r="A16" s="39">
        <f t="shared" si="1"/>
        <v>15</v>
      </c>
      <c r="B16" s="3"/>
      <c r="C16" s="3"/>
    </row>
    <row r="17">
      <c r="A17" s="39" t="s">
        <v>156</v>
      </c>
      <c r="C17" s="3">
        <f>AVERAGE(B2:B9)</f>
        <v>24.8</v>
      </c>
    </row>
    <row r="18">
      <c r="A18" s="39"/>
      <c r="B18" s="41" t="s">
        <v>157</v>
      </c>
      <c r="C18" s="41"/>
    </row>
    <row r="19">
      <c r="A19" s="40"/>
      <c r="B19" s="3"/>
      <c r="C19" s="3"/>
    </row>
    <row r="20">
      <c r="A20" s="40"/>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7" width="15.75"/>
  </cols>
  <sheetData>
    <row r="1">
      <c r="A1" s="42" t="s">
        <v>158</v>
      </c>
      <c r="B1" s="43" t="s">
        <v>159</v>
      </c>
      <c r="C1" s="44" t="s">
        <v>160</v>
      </c>
      <c r="D1" s="45" t="s">
        <v>161</v>
      </c>
      <c r="E1" s="45" t="s">
        <v>162</v>
      </c>
      <c r="F1" s="45" t="s">
        <v>163</v>
      </c>
      <c r="G1" s="45" t="s">
        <v>164</v>
      </c>
    </row>
    <row r="2">
      <c r="A2" s="46"/>
      <c r="B2" s="47"/>
      <c r="C2" s="31"/>
      <c r="D2" s="31"/>
      <c r="E2" s="31"/>
      <c r="F2" s="31"/>
      <c r="G2" s="31"/>
    </row>
    <row r="3">
      <c r="A3" s="48" t="s">
        <v>165</v>
      </c>
      <c r="B3" s="49"/>
      <c r="C3" s="50"/>
      <c r="D3" s="50"/>
      <c r="E3" s="50"/>
      <c r="F3" s="50"/>
      <c r="G3" s="50"/>
    </row>
    <row r="4">
      <c r="A4" s="46"/>
      <c r="B4" s="47"/>
      <c r="C4" s="31"/>
      <c r="D4" s="31"/>
      <c r="E4" s="31"/>
      <c r="F4" s="31"/>
      <c r="G4" s="31"/>
    </row>
    <row r="5">
      <c r="A5" s="51" t="s">
        <v>166</v>
      </c>
      <c r="B5" s="52"/>
      <c r="C5" s="29"/>
      <c r="D5" s="53">
        <f>sum(D8:D15)</f>
        <v>170</v>
      </c>
      <c r="E5" s="53">
        <f>D5</f>
        <v>170</v>
      </c>
      <c r="F5" s="29"/>
      <c r="G5" s="29"/>
    </row>
    <row r="6">
      <c r="A6" s="46"/>
      <c r="B6" s="47"/>
      <c r="C6" s="31"/>
      <c r="D6" s="31"/>
      <c r="E6" s="31"/>
      <c r="F6" s="31"/>
      <c r="G6" s="31"/>
    </row>
    <row r="7">
      <c r="A7" s="54" t="s">
        <v>167</v>
      </c>
      <c r="B7" s="55"/>
      <c r="C7" s="56"/>
      <c r="D7" s="56"/>
      <c r="E7" s="56"/>
      <c r="F7" s="56"/>
      <c r="G7" s="56"/>
    </row>
    <row r="8">
      <c r="A8" s="46"/>
      <c r="B8" s="47"/>
      <c r="C8" s="31"/>
      <c r="D8" s="31"/>
      <c r="E8" s="57" t="s">
        <v>168</v>
      </c>
      <c r="F8" s="31"/>
      <c r="G8" s="57" t="s">
        <v>169</v>
      </c>
    </row>
    <row r="9">
      <c r="A9" s="58">
        <v>1.0</v>
      </c>
      <c r="B9" s="27" t="s">
        <v>170</v>
      </c>
      <c r="D9" s="53">
        <f>sum(D18:D23)</f>
        <v>0</v>
      </c>
      <c r="E9" s="53">
        <f>$D$5</f>
        <v>170</v>
      </c>
      <c r="F9" s="53">
        <f>sum(F18:F23)</f>
        <v>0</v>
      </c>
      <c r="G9" s="53">
        <f>$D$5</f>
        <v>170</v>
      </c>
    </row>
    <row r="10">
      <c r="A10" s="46">
        <f t="shared" ref="A10:A11" si="1">A9+1</f>
        <v>2</v>
      </c>
      <c r="B10" s="27" t="s">
        <v>171</v>
      </c>
      <c r="C10" s="31"/>
      <c r="D10" s="59">
        <f>sum(D24:D28)</f>
        <v>14</v>
      </c>
      <c r="E10" s="59">
        <f t="shared" ref="E10:E14" si="2">E9-D9</f>
        <v>170</v>
      </c>
      <c r="F10" s="59">
        <f>sum(F24:F28)</f>
        <v>11</v>
      </c>
      <c r="G10" s="59">
        <f t="shared" ref="G10:G14" si="3">G9-F9</f>
        <v>170</v>
      </c>
    </row>
    <row r="11">
      <c r="A11" s="58">
        <f t="shared" si="1"/>
        <v>3</v>
      </c>
      <c r="B11" s="27" t="s">
        <v>172</v>
      </c>
      <c r="C11" s="29"/>
      <c r="D11" s="53">
        <f>sum(D29:D40)</f>
        <v>44</v>
      </c>
      <c r="E11" s="53">
        <f t="shared" si="2"/>
        <v>156</v>
      </c>
      <c r="F11" s="53">
        <f>sum(F29:F40)</f>
        <v>39</v>
      </c>
      <c r="G11" s="53">
        <f t="shared" si="3"/>
        <v>159</v>
      </c>
    </row>
    <row r="12">
      <c r="A12" s="60">
        <v>4.0</v>
      </c>
      <c r="B12" s="27" t="s">
        <v>173</v>
      </c>
      <c r="C12" s="31"/>
      <c r="D12" s="31">
        <f>sum(D41:D48)</f>
        <v>33</v>
      </c>
      <c r="E12" s="31">
        <f t="shared" si="2"/>
        <v>112</v>
      </c>
      <c r="F12" s="31">
        <f>sum(F41:F48)</f>
        <v>37</v>
      </c>
      <c r="G12" s="31">
        <f t="shared" si="3"/>
        <v>120</v>
      </c>
    </row>
    <row r="13">
      <c r="A13" s="58">
        <v>5.0</v>
      </c>
      <c r="B13" s="27" t="s">
        <v>145</v>
      </c>
      <c r="C13" s="29"/>
      <c r="D13" s="53">
        <f>sum(D49:D53)</f>
        <v>29</v>
      </c>
      <c r="E13" s="53">
        <f t="shared" si="2"/>
        <v>79</v>
      </c>
      <c r="F13" s="53">
        <f>sum(F49:F53)</f>
        <v>37</v>
      </c>
      <c r="G13" s="29">
        <f t="shared" si="3"/>
        <v>83</v>
      </c>
    </row>
    <row r="14">
      <c r="A14" s="60">
        <v>6.0</v>
      </c>
      <c r="B14" s="27" t="s">
        <v>146</v>
      </c>
      <c r="C14" s="31"/>
      <c r="D14" s="31">
        <f>sum(D54:D64)</f>
        <v>50</v>
      </c>
      <c r="E14" s="31">
        <f t="shared" si="2"/>
        <v>50</v>
      </c>
      <c r="F14" s="31">
        <f>sum(F55:F58)</f>
        <v>0</v>
      </c>
      <c r="G14" s="31">
        <f t="shared" si="3"/>
        <v>46</v>
      </c>
    </row>
    <row r="15">
      <c r="A15" s="58"/>
      <c r="B15" s="51"/>
      <c r="C15" s="29"/>
      <c r="D15" s="29"/>
      <c r="E15" s="29"/>
      <c r="F15" s="29"/>
      <c r="G15" s="29"/>
    </row>
    <row r="16">
      <c r="A16" s="61" t="s">
        <v>174</v>
      </c>
      <c r="B16" s="62"/>
      <c r="C16" s="63"/>
      <c r="D16" s="63"/>
      <c r="E16" s="63"/>
      <c r="F16" s="63"/>
      <c r="G16" s="63"/>
    </row>
    <row r="17">
      <c r="A17" s="58"/>
      <c r="B17" s="51"/>
      <c r="C17" s="29"/>
      <c r="D17" s="27"/>
      <c r="E17" s="29"/>
      <c r="F17" s="29"/>
      <c r="G17" s="29"/>
    </row>
    <row r="18">
      <c r="A18" s="64">
        <f>A9</f>
        <v>1</v>
      </c>
      <c r="B18" s="27" t="s">
        <v>170</v>
      </c>
      <c r="C18" s="27" t="s">
        <v>144</v>
      </c>
      <c r="D18" s="27"/>
      <c r="E18" s="31"/>
      <c r="F18" s="31"/>
      <c r="G18" s="31"/>
    </row>
    <row r="19">
      <c r="A19" s="58"/>
      <c r="B19" s="65"/>
      <c r="D19" s="27"/>
      <c r="G19" s="29"/>
    </row>
    <row r="20">
      <c r="A20" s="46"/>
      <c r="B20" s="47"/>
      <c r="D20" s="27"/>
      <c r="G20" s="47"/>
    </row>
    <row r="21">
      <c r="A21" s="58"/>
      <c r="B21" s="65"/>
      <c r="D21" s="27"/>
      <c r="G21" s="29"/>
    </row>
    <row r="22">
      <c r="A22" s="66"/>
      <c r="B22" s="67"/>
      <c r="D22" s="27"/>
      <c r="E22" s="27"/>
      <c r="G22" s="67"/>
    </row>
    <row r="23">
      <c r="A23" s="58"/>
      <c r="B23" s="65"/>
      <c r="D23" s="27"/>
      <c r="E23" s="27"/>
      <c r="G23" s="27"/>
    </row>
    <row r="24">
      <c r="A24" s="68">
        <f>A10</f>
        <v>2</v>
      </c>
      <c r="B24" s="27" t="s">
        <v>171</v>
      </c>
      <c r="C24" s="27" t="s">
        <v>175</v>
      </c>
      <c r="D24" s="27">
        <v>2.0</v>
      </c>
      <c r="E24" s="27"/>
      <c r="F24">
        <v>3.0</v>
      </c>
      <c r="G24" s="27"/>
    </row>
    <row r="25">
      <c r="A25" s="65"/>
      <c r="B25" s="65"/>
      <c r="C25" s="65" t="s">
        <v>176</v>
      </c>
      <c r="D25" s="27">
        <v>5.0</v>
      </c>
      <c r="E25" s="27"/>
      <c r="F25">
        <v>3.0</v>
      </c>
      <c r="G25" s="27"/>
    </row>
    <row r="26">
      <c r="A26" s="27"/>
      <c r="B26" s="27"/>
      <c r="C26" s="27" t="s">
        <v>177</v>
      </c>
      <c r="D26" s="27">
        <v>5.0</v>
      </c>
      <c r="E26" s="27"/>
      <c r="F26">
        <v>3.0</v>
      </c>
      <c r="G26" s="27"/>
    </row>
    <row r="27">
      <c r="A27" s="27"/>
      <c r="B27" s="27"/>
      <c r="C27" s="27" t="s">
        <v>178</v>
      </c>
      <c r="D27" s="27">
        <v>2.0</v>
      </c>
      <c r="E27" s="27"/>
      <c r="F27">
        <v>2.0</v>
      </c>
      <c r="G27" s="27"/>
    </row>
    <row r="28">
      <c r="A28" s="27"/>
      <c r="B28" s="27"/>
      <c r="C28" s="27"/>
      <c r="D28" s="27"/>
      <c r="E28" s="27"/>
      <c r="G28" s="27"/>
    </row>
    <row r="29">
      <c r="A29" s="68">
        <f>A11</f>
        <v>3</v>
      </c>
      <c r="B29" s="27" t="s">
        <v>172</v>
      </c>
      <c r="C29" s="27" t="s">
        <v>179</v>
      </c>
      <c r="D29" s="27">
        <v>8.0</v>
      </c>
      <c r="E29" s="27"/>
      <c r="F29" s="27">
        <v>8.0</v>
      </c>
      <c r="G29" s="27"/>
    </row>
    <row r="30">
      <c r="A30" s="65"/>
      <c r="B30" s="65"/>
      <c r="C30" s="65" t="s">
        <v>180</v>
      </c>
      <c r="D30" s="27">
        <v>8.0</v>
      </c>
      <c r="E30" s="27"/>
      <c r="F30">
        <v>5.0</v>
      </c>
      <c r="G30" s="27"/>
    </row>
    <row r="31">
      <c r="A31" s="66"/>
      <c r="B31" s="67"/>
      <c r="C31" s="27" t="s">
        <v>181</v>
      </c>
      <c r="D31" s="27">
        <v>1.0</v>
      </c>
      <c r="E31" s="27"/>
      <c r="F31">
        <v>1.0</v>
      </c>
      <c r="G31" s="27"/>
    </row>
    <row r="32">
      <c r="A32" s="58"/>
      <c r="B32" s="65"/>
      <c r="C32" s="27" t="s">
        <v>182</v>
      </c>
      <c r="D32" s="27">
        <v>1.0</v>
      </c>
      <c r="E32" s="27"/>
      <c r="F32">
        <v>1.0</v>
      </c>
      <c r="G32" s="27"/>
    </row>
    <row r="33">
      <c r="A33" s="66"/>
      <c r="B33" s="67"/>
      <c r="C33" s="27" t="s">
        <v>183</v>
      </c>
      <c r="D33" s="27">
        <v>1.0</v>
      </c>
      <c r="E33" s="27"/>
      <c r="F33">
        <v>1.0</v>
      </c>
      <c r="G33" s="27"/>
    </row>
    <row r="34">
      <c r="A34" s="58"/>
      <c r="B34" s="65"/>
      <c r="C34" s="27" t="s">
        <v>184</v>
      </c>
      <c r="D34" s="27">
        <v>3.0</v>
      </c>
      <c r="E34" s="27"/>
      <c r="F34">
        <v>3.0</v>
      </c>
      <c r="G34" s="27"/>
    </row>
    <row r="35">
      <c r="A35" s="66"/>
      <c r="B35" s="67"/>
      <c r="C35" s="27" t="s">
        <v>185</v>
      </c>
      <c r="D35" s="27">
        <v>3.0</v>
      </c>
      <c r="E35" s="27"/>
      <c r="F35" s="27">
        <v>3.0</v>
      </c>
      <c r="G35" s="27"/>
    </row>
    <row r="36">
      <c r="A36" s="58"/>
      <c r="B36" s="65"/>
      <c r="C36" s="27" t="s">
        <v>186</v>
      </c>
      <c r="D36" s="27">
        <v>3.0</v>
      </c>
      <c r="E36" s="27"/>
      <c r="F36">
        <v>3.0</v>
      </c>
      <c r="G36" s="27"/>
    </row>
    <row r="37">
      <c r="A37" s="66"/>
      <c r="B37" s="67"/>
      <c r="C37" s="27" t="s">
        <v>187</v>
      </c>
      <c r="D37" s="27">
        <v>3.0</v>
      </c>
      <c r="E37" s="27"/>
      <c r="F37">
        <v>3.0</v>
      </c>
      <c r="G37" s="27"/>
    </row>
    <row r="38">
      <c r="A38" s="58"/>
      <c r="B38" s="65"/>
      <c r="C38" s="27" t="s">
        <v>188</v>
      </c>
      <c r="D38" s="27">
        <v>5.0</v>
      </c>
      <c r="E38" s="27"/>
      <c r="F38">
        <v>3.0</v>
      </c>
      <c r="G38" s="27"/>
    </row>
    <row r="39">
      <c r="A39" s="66"/>
      <c r="B39" s="67"/>
      <c r="C39" s="27" t="s">
        <v>189</v>
      </c>
      <c r="D39" s="27">
        <v>3.0</v>
      </c>
      <c r="E39" s="27"/>
      <c r="F39">
        <v>3.0</v>
      </c>
      <c r="G39" s="27"/>
    </row>
    <row r="40">
      <c r="A40" s="58"/>
      <c r="B40" s="65"/>
      <c r="C40" s="27" t="s">
        <v>190</v>
      </c>
      <c r="D40" s="27">
        <v>5.0</v>
      </c>
      <c r="E40" s="27"/>
      <c r="F40">
        <v>5.0</v>
      </c>
      <c r="G40" s="27"/>
    </row>
    <row r="41">
      <c r="A41" s="68">
        <v>4.0</v>
      </c>
      <c r="B41" s="27" t="s">
        <v>173</v>
      </c>
      <c r="C41" s="27" t="s">
        <v>191</v>
      </c>
      <c r="D41" s="27">
        <v>2.0</v>
      </c>
      <c r="E41" s="27"/>
      <c r="F41">
        <v>3.0</v>
      </c>
      <c r="G41" s="27"/>
    </row>
    <row r="42">
      <c r="A42" s="58"/>
      <c r="B42" s="65"/>
      <c r="C42" s="27" t="s">
        <v>192</v>
      </c>
      <c r="D42" s="27">
        <v>3.0</v>
      </c>
      <c r="E42" s="27"/>
      <c r="F42">
        <v>5.0</v>
      </c>
      <c r="G42" s="27"/>
    </row>
    <row r="43">
      <c r="A43" s="66"/>
      <c r="B43" s="67"/>
      <c r="C43" s="27" t="s">
        <v>193</v>
      </c>
      <c r="D43" s="27">
        <v>3.0</v>
      </c>
      <c r="E43" s="27"/>
      <c r="F43">
        <v>3.0</v>
      </c>
      <c r="G43" s="27"/>
    </row>
    <row r="44">
      <c r="A44" s="58"/>
      <c r="B44" s="65"/>
      <c r="C44" s="27" t="s">
        <v>194</v>
      </c>
      <c r="D44" s="27">
        <v>8.0</v>
      </c>
      <c r="E44" s="27"/>
      <c r="F44">
        <v>8.0</v>
      </c>
      <c r="G44" s="27"/>
    </row>
    <row r="45">
      <c r="A45" s="66"/>
      <c r="B45" s="67"/>
      <c r="C45" s="27" t="s">
        <v>195</v>
      </c>
      <c r="D45" s="27">
        <v>3.0</v>
      </c>
      <c r="E45" s="27"/>
      <c r="F45">
        <v>3.0</v>
      </c>
      <c r="G45" s="27"/>
    </row>
    <row r="46">
      <c r="A46" s="58"/>
      <c r="B46" s="65"/>
      <c r="C46" s="27" t="s">
        <v>196</v>
      </c>
      <c r="D46" s="27">
        <v>8.0</v>
      </c>
      <c r="E46" s="27"/>
      <c r="F46">
        <v>8.0</v>
      </c>
      <c r="G46" s="27"/>
    </row>
    <row r="47">
      <c r="A47" s="66"/>
      <c r="B47" s="67"/>
      <c r="C47" s="27" t="s">
        <v>197</v>
      </c>
      <c r="D47" s="27">
        <v>3.0</v>
      </c>
      <c r="E47" s="27"/>
      <c r="F47">
        <v>5.0</v>
      </c>
      <c r="G47" s="27"/>
    </row>
    <row r="48">
      <c r="A48" s="58"/>
      <c r="B48" s="65"/>
      <c r="C48" s="27" t="s">
        <v>198</v>
      </c>
      <c r="D48" s="27">
        <v>3.0</v>
      </c>
      <c r="E48" s="27"/>
      <c r="F48">
        <v>2.0</v>
      </c>
      <c r="G48" s="27"/>
    </row>
    <row r="49">
      <c r="A49" s="68">
        <v>5.0</v>
      </c>
      <c r="B49" s="27" t="s">
        <v>145</v>
      </c>
      <c r="C49" s="27" t="s">
        <v>199</v>
      </c>
      <c r="D49" s="27">
        <v>5.0</v>
      </c>
      <c r="E49" s="27"/>
      <c r="F49" s="27">
        <v>5.0</v>
      </c>
      <c r="G49" s="27"/>
    </row>
    <row r="50">
      <c r="A50" s="58"/>
      <c r="B50" s="65"/>
      <c r="C50" s="27" t="s">
        <v>200</v>
      </c>
      <c r="D50" s="27">
        <v>3.0</v>
      </c>
      <c r="E50" s="27"/>
      <c r="F50" s="27">
        <v>3.0</v>
      </c>
      <c r="G50" s="27"/>
    </row>
    <row r="51">
      <c r="A51" s="66"/>
      <c r="B51" s="67"/>
      <c r="C51" s="27" t="s">
        <v>201</v>
      </c>
      <c r="D51" s="27">
        <v>8.0</v>
      </c>
      <c r="E51" s="27"/>
      <c r="F51" s="27">
        <v>8.0</v>
      </c>
      <c r="G51" s="27"/>
    </row>
    <row r="52">
      <c r="A52" s="58"/>
      <c r="B52" s="65"/>
      <c r="C52" s="27" t="s">
        <v>202</v>
      </c>
      <c r="D52" s="27">
        <v>8.0</v>
      </c>
      <c r="E52" s="27"/>
      <c r="F52" s="27">
        <v>13.0</v>
      </c>
      <c r="G52" s="27"/>
    </row>
    <row r="53">
      <c r="A53" s="66"/>
      <c r="B53" s="67"/>
      <c r="C53" s="27" t="s">
        <v>203</v>
      </c>
      <c r="D53" s="27">
        <v>5.0</v>
      </c>
      <c r="E53" s="27"/>
      <c r="F53" s="27">
        <v>8.0</v>
      </c>
      <c r="G53" s="27"/>
    </row>
    <row r="54">
      <c r="A54" s="68">
        <v>6.0</v>
      </c>
      <c r="B54" s="27" t="s">
        <v>146</v>
      </c>
      <c r="C54" s="27" t="s">
        <v>204</v>
      </c>
      <c r="D54" s="27">
        <v>5.0</v>
      </c>
      <c r="E54" s="27"/>
      <c r="F54">
        <v>0.0</v>
      </c>
      <c r="G54" s="27"/>
    </row>
    <row r="55">
      <c r="A55" s="58"/>
      <c r="B55" s="65"/>
      <c r="C55" s="27" t="s">
        <v>205</v>
      </c>
      <c r="D55" s="27">
        <v>8.0</v>
      </c>
      <c r="E55" s="27"/>
      <c r="F55">
        <v>0.0</v>
      </c>
      <c r="G55" s="27"/>
    </row>
    <row r="56">
      <c r="A56" s="27"/>
      <c r="B56" s="27"/>
      <c r="C56" s="27" t="s">
        <v>206</v>
      </c>
      <c r="D56" s="27">
        <v>8.0</v>
      </c>
      <c r="E56" s="27"/>
      <c r="F56" s="27">
        <v>0.0</v>
      </c>
      <c r="G56" s="27"/>
    </row>
    <row r="57">
      <c r="A57" s="65"/>
      <c r="B57" s="65"/>
      <c r="C57" s="65" t="s">
        <v>207</v>
      </c>
      <c r="D57" s="69">
        <v>5.0</v>
      </c>
      <c r="E57" s="65"/>
      <c r="F57" s="65">
        <v>0.0</v>
      </c>
      <c r="G57" s="65"/>
    </row>
    <row r="58">
      <c r="A58" s="67"/>
      <c r="B58" s="67"/>
      <c r="C58" s="67" t="s">
        <v>208</v>
      </c>
      <c r="D58" s="67">
        <v>3.0</v>
      </c>
      <c r="E58" s="67"/>
      <c r="F58" s="67">
        <v>0.0</v>
      </c>
      <c r="G58" s="67"/>
    </row>
    <row r="59">
      <c r="A59" s="65"/>
      <c r="B59" s="65"/>
      <c r="C59" s="69" t="s">
        <v>209</v>
      </c>
      <c r="D59" s="69">
        <v>3.0</v>
      </c>
      <c r="E59" s="65"/>
      <c r="F59" s="65">
        <v>0.0</v>
      </c>
      <c r="G59" s="65"/>
    </row>
    <row r="60">
      <c r="A60" s="66"/>
      <c r="B60" s="67"/>
      <c r="C60" s="27" t="s">
        <v>210</v>
      </c>
      <c r="D60" s="70">
        <v>3.0</v>
      </c>
      <c r="E60" s="67"/>
      <c r="F60" s="71">
        <v>0.0</v>
      </c>
      <c r="G60" s="27"/>
    </row>
    <row r="61">
      <c r="A61" s="68"/>
      <c r="C61" s="27" t="s">
        <v>211</v>
      </c>
      <c r="D61" s="27">
        <v>5.0</v>
      </c>
      <c r="F61" s="71">
        <v>0.0</v>
      </c>
    </row>
    <row r="62">
      <c r="A62" s="66"/>
      <c r="B62" s="67"/>
      <c r="C62" s="27" t="s">
        <v>212</v>
      </c>
      <c r="D62" s="71">
        <v>3.0</v>
      </c>
      <c r="E62" s="67"/>
      <c r="F62" s="71">
        <v>0.0</v>
      </c>
    </row>
    <row r="63">
      <c r="A63" s="68"/>
      <c r="B63" s="27"/>
      <c r="C63" s="69" t="s">
        <v>213</v>
      </c>
      <c r="D63" s="69">
        <v>5.0</v>
      </c>
      <c r="E63" s="65"/>
      <c r="F63" s="71">
        <v>0.0</v>
      </c>
      <c r="G63" s="65"/>
    </row>
    <row r="64">
      <c r="A64" s="68"/>
      <c r="B64" s="27"/>
      <c r="C64" s="69" t="s">
        <v>214</v>
      </c>
      <c r="D64" s="69">
        <v>2.0</v>
      </c>
      <c r="E64" s="65"/>
      <c r="F64" s="71">
        <v>0.0</v>
      </c>
      <c r="G64" s="65"/>
    </row>
    <row r="65">
      <c r="A65" s="68"/>
      <c r="B65" s="27"/>
      <c r="C65" s="69"/>
      <c r="D65" s="69"/>
      <c r="E65" s="65"/>
      <c r="F65" s="69"/>
      <c r="G65" s="65"/>
    </row>
    <row r="66">
      <c r="A66" s="68">
        <v>7.0</v>
      </c>
      <c r="B66" s="27" t="s">
        <v>147</v>
      </c>
      <c r="C66" s="69"/>
      <c r="D66" s="69"/>
      <c r="E66" s="65"/>
      <c r="F66" s="69"/>
      <c r="G66" s="65"/>
    </row>
    <row r="67">
      <c r="A67" s="66"/>
      <c r="B67" s="67"/>
      <c r="D67" s="71"/>
      <c r="E67" s="67"/>
      <c r="F67" s="71"/>
      <c r="G67" s="27"/>
    </row>
    <row r="68">
      <c r="A68" s="65"/>
      <c r="B68" s="65"/>
      <c r="C68" s="69"/>
      <c r="D68" s="69"/>
      <c r="E68" s="65"/>
      <c r="F68" s="69"/>
      <c r="G68" s="65"/>
    </row>
    <row r="69">
      <c r="A69" s="66"/>
      <c r="B69" s="67"/>
      <c r="D69" s="71"/>
      <c r="E69" s="67"/>
      <c r="F69" s="71"/>
      <c r="G69" s="27"/>
    </row>
    <row r="70">
      <c r="A70" s="65"/>
      <c r="B70" s="65"/>
      <c r="C70" s="69"/>
      <c r="D70" s="69"/>
      <c r="E70" s="65"/>
      <c r="F70" s="69"/>
      <c r="G70" s="65"/>
    </row>
    <row r="71">
      <c r="A71" s="66"/>
      <c r="B71" s="67"/>
      <c r="D71" s="71"/>
      <c r="E71" s="67"/>
      <c r="F71" s="71"/>
      <c r="G71" s="27"/>
    </row>
    <row r="72">
      <c r="A72" s="65"/>
      <c r="B72" s="65"/>
      <c r="C72" s="69"/>
      <c r="D72" s="69"/>
      <c r="E72" s="65"/>
      <c r="F72" s="69"/>
      <c r="G72" s="65"/>
    </row>
    <row r="73">
      <c r="A73" s="66"/>
      <c r="B73" s="67"/>
      <c r="D73" s="71"/>
      <c r="E73" s="67"/>
      <c r="F73" s="71"/>
      <c r="G73" s="27"/>
    </row>
    <row r="74">
      <c r="A74" s="65"/>
      <c r="B74" s="65"/>
      <c r="C74" s="65"/>
      <c r="D74" s="69"/>
      <c r="E74" s="65"/>
      <c r="F74" s="69"/>
      <c r="G74" s="65"/>
    </row>
    <row r="75">
      <c r="A75" s="66"/>
      <c r="B75" s="67"/>
      <c r="D75" s="71"/>
      <c r="E75" s="67"/>
      <c r="F75" s="71"/>
      <c r="G75" s="27"/>
    </row>
    <row r="76">
      <c r="A76" s="58"/>
      <c r="B76" s="65"/>
      <c r="C76" s="72" t="s">
        <v>215</v>
      </c>
      <c r="D76" s="53"/>
      <c r="E76" s="29"/>
      <c r="F76" s="29"/>
      <c r="G76" s="27"/>
    </row>
    <row r="77">
      <c r="A77" s="66"/>
      <c r="B77" s="67"/>
      <c r="C77" s="31"/>
      <c r="D77" s="31"/>
      <c r="E77" s="31"/>
      <c r="F77" s="31"/>
      <c r="G77" s="31"/>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2" t="s">
        <v>158</v>
      </c>
      <c r="B1" s="73" t="s">
        <v>159</v>
      </c>
      <c r="C1" s="44" t="s">
        <v>160</v>
      </c>
      <c r="D1" s="45" t="s">
        <v>161</v>
      </c>
      <c r="E1" s="45" t="s">
        <v>162</v>
      </c>
      <c r="F1" s="45" t="s">
        <v>163</v>
      </c>
      <c r="G1" s="45" t="s">
        <v>164</v>
      </c>
    </row>
    <row r="2">
      <c r="A2" s="46"/>
      <c r="B2" s="31"/>
      <c r="C2" s="31"/>
      <c r="D2" s="31"/>
      <c r="E2" s="31"/>
      <c r="F2" s="31"/>
      <c r="G2" s="31"/>
    </row>
    <row r="3">
      <c r="A3" s="48" t="s">
        <v>165</v>
      </c>
      <c r="B3" s="50"/>
      <c r="C3" s="50"/>
      <c r="D3" s="50"/>
      <c r="E3" s="50"/>
      <c r="F3" s="50"/>
      <c r="G3" s="50"/>
    </row>
    <row r="4">
      <c r="A4" s="46"/>
      <c r="B4" s="31"/>
      <c r="C4" s="31"/>
      <c r="D4" s="31"/>
      <c r="E4" s="31"/>
      <c r="F4" s="31"/>
      <c r="G4" s="31"/>
    </row>
    <row r="5">
      <c r="A5" s="51" t="s">
        <v>166</v>
      </c>
      <c r="B5" s="29"/>
      <c r="C5" s="29"/>
      <c r="D5" s="53">
        <f>sum(D8:D13)</f>
        <v>0</v>
      </c>
      <c r="E5" s="53">
        <f>D5</f>
        <v>0</v>
      </c>
      <c r="F5" s="29"/>
      <c r="G5" s="29"/>
    </row>
    <row r="6">
      <c r="A6" s="46"/>
      <c r="B6" s="31"/>
      <c r="C6" s="31"/>
      <c r="D6" s="31"/>
      <c r="E6" s="31"/>
      <c r="F6" s="31"/>
      <c r="G6" s="31"/>
    </row>
    <row r="7">
      <c r="A7" s="54" t="s">
        <v>167</v>
      </c>
      <c r="B7" s="74"/>
      <c r="C7" s="56"/>
      <c r="D7" s="56"/>
      <c r="E7" s="56"/>
      <c r="F7" s="56"/>
      <c r="G7" s="56"/>
    </row>
    <row r="8">
      <c r="A8" s="46"/>
      <c r="B8" s="31"/>
      <c r="C8" s="31"/>
      <c r="D8" s="31"/>
      <c r="E8" s="57" t="s">
        <v>168</v>
      </c>
      <c r="F8" s="31"/>
      <c r="G8" s="57" t="s">
        <v>169</v>
      </c>
    </row>
    <row r="9">
      <c r="A9" s="58">
        <v>1.0</v>
      </c>
      <c r="B9" s="29"/>
      <c r="C9" s="29"/>
      <c r="D9" s="53">
        <f>sum(D16:D21)</f>
        <v>0</v>
      </c>
      <c r="E9" s="53">
        <f>$D$5</f>
        <v>0</v>
      </c>
      <c r="F9" s="53">
        <f>sum(F16:F21)</f>
        <v>0</v>
      </c>
      <c r="G9" s="53">
        <f>$D$5</f>
        <v>0</v>
      </c>
    </row>
    <row r="10">
      <c r="A10" s="46">
        <f t="shared" ref="A10:A11" si="1">A9+1</f>
        <v>2</v>
      </c>
      <c r="B10" s="31"/>
      <c r="C10" s="31"/>
      <c r="D10" s="59">
        <f>sum(D22:D27)</f>
        <v>0</v>
      </c>
      <c r="E10" s="59">
        <f t="shared" ref="E10:E12" si="2">E9-D9</f>
        <v>0</v>
      </c>
      <c r="F10" s="59">
        <f>sum(F22:F27)</f>
        <v>0</v>
      </c>
      <c r="G10" s="59">
        <f t="shared" ref="G10:G12" si="3">G9-F9</f>
        <v>0</v>
      </c>
    </row>
    <row r="11">
      <c r="A11" s="58">
        <f t="shared" si="1"/>
        <v>3</v>
      </c>
      <c r="B11" s="29"/>
      <c r="C11" s="29"/>
      <c r="D11" s="53">
        <f>sum(D28:D33)</f>
        <v>0</v>
      </c>
      <c r="E11" s="53">
        <f t="shared" si="2"/>
        <v>0</v>
      </c>
      <c r="F11" s="53">
        <f>sum(F28:F33)</f>
        <v>0</v>
      </c>
      <c r="G11" s="53">
        <f t="shared" si="3"/>
        <v>0</v>
      </c>
    </row>
    <row r="12">
      <c r="A12" s="60" t="s">
        <v>6</v>
      </c>
      <c r="B12" s="31"/>
      <c r="C12" s="31"/>
      <c r="D12" s="31"/>
      <c r="E12" s="59">
        <f t="shared" si="2"/>
        <v>0</v>
      </c>
      <c r="F12" s="31"/>
      <c r="G12" s="59">
        <f t="shared" si="3"/>
        <v>0</v>
      </c>
    </row>
    <row r="13">
      <c r="A13" s="58"/>
      <c r="B13" s="29"/>
      <c r="C13" s="29"/>
      <c r="D13" s="29"/>
      <c r="E13" s="29"/>
      <c r="F13" s="29"/>
      <c r="G13" s="29"/>
    </row>
    <row r="14">
      <c r="A14" s="61" t="s">
        <v>174</v>
      </c>
      <c r="B14" s="62"/>
      <c r="C14" s="63"/>
      <c r="D14" s="63"/>
      <c r="E14" s="63"/>
      <c r="F14" s="63"/>
      <c r="G14" s="63"/>
    </row>
    <row r="15">
      <c r="A15" s="58"/>
      <c r="B15" s="29"/>
      <c r="C15" s="29"/>
      <c r="D15" s="29"/>
      <c r="E15" s="29"/>
      <c r="F15" s="29"/>
      <c r="G15" s="29"/>
    </row>
    <row r="16">
      <c r="A16" s="64">
        <f>A9</f>
        <v>1</v>
      </c>
      <c r="B16" s="31"/>
      <c r="C16" s="31"/>
      <c r="D16" s="31"/>
      <c r="E16" s="31"/>
      <c r="F16" s="31"/>
      <c r="G16" s="31"/>
    </row>
    <row r="17">
      <c r="A17" s="58"/>
      <c r="B17" s="65"/>
      <c r="C17" s="29"/>
      <c r="D17" s="29"/>
      <c r="E17" s="29"/>
      <c r="F17" s="29"/>
      <c r="G17" s="29"/>
    </row>
    <row r="18">
      <c r="A18" s="46"/>
      <c r="B18" s="75"/>
      <c r="C18" s="67"/>
      <c r="D18" s="76"/>
      <c r="E18" s="47"/>
      <c r="F18" s="76"/>
      <c r="G18" s="47"/>
    </row>
    <row r="19">
      <c r="A19" s="58"/>
      <c r="B19" s="29"/>
      <c r="C19" s="29"/>
      <c r="D19" s="53"/>
      <c r="E19" s="29"/>
      <c r="F19" s="53"/>
      <c r="G19" s="29"/>
    </row>
    <row r="20">
      <c r="A20" s="66"/>
      <c r="B20" s="31"/>
      <c r="C20" s="67"/>
      <c r="D20" s="59"/>
      <c r="E20" s="67"/>
      <c r="F20" s="59"/>
      <c r="G20" s="67"/>
    </row>
    <row r="21">
      <c r="A21" s="58"/>
      <c r="B21" s="29"/>
      <c r="C21" s="29"/>
      <c r="D21" s="53"/>
      <c r="E21" s="29"/>
      <c r="F21" s="53"/>
      <c r="G21" s="29"/>
    </row>
    <row r="22">
      <c r="A22" s="64">
        <f>A10</f>
        <v>2</v>
      </c>
      <c r="B22" s="31"/>
      <c r="C22" s="31"/>
      <c r="D22" s="31"/>
      <c r="E22" s="31"/>
      <c r="F22" s="31"/>
      <c r="G22" s="31"/>
    </row>
    <row r="23">
      <c r="A23" s="58"/>
      <c r="B23" s="65"/>
      <c r="C23" s="29"/>
      <c r="D23" s="29"/>
      <c r="E23" s="29"/>
      <c r="F23" s="29"/>
      <c r="G23" s="29"/>
    </row>
    <row r="24">
      <c r="A24" s="66"/>
      <c r="B24" s="31"/>
      <c r="C24" s="67"/>
      <c r="D24" s="59"/>
      <c r="E24" s="67"/>
      <c r="F24" s="59"/>
      <c r="G24" s="67"/>
    </row>
    <row r="25">
      <c r="A25" s="58"/>
      <c r="B25" s="29"/>
      <c r="C25" s="29"/>
      <c r="D25" s="53"/>
      <c r="E25" s="29"/>
      <c r="F25" s="53"/>
      <c r="G25" s="29"/>
    </row>
    <row r="26">
      <c r="A26" s="66"/>
      <c r="B26" s="31"/>
      <c r="C26" s="67"/>
      <c r="D26" s="59"/>
      <c r="E26" s="67"/>
      <c r="F26" s="59"/>
      <c r="G26" s="67"/>
    </row>
    <row r="27">
      <c r="A27" s="58"/>
      <c r="B27" s="29"/>
      <c r="C27" s="29"/>
      <c r="D27" s="53"/>
      <c r="E27" s="29"/>
      <c r="F27" s="53"/>
      <c r="G27" s="29"/>
    </row>
    <row r="28">
      <c r="A28" s="64">
        <f>A11</f>
        <v>3</v>
      </c>
      <c r="B28" s="31"/>
      <c r="C28" s="31"/>
      <c r="D28" s="31"/>
      <c r="E28" s="31"/>
      <c r="F28" s="31"/>
      <c r="G28" s="31"/>
    </row>
    <row r="29">
      <c r="A29" s="58"/>
      <c r="B29" s="65"/>
      <c r="C29" s="29"/>
      <c r="D29" s="29"/>
      <c r="E29" s="29"/>
      <c r="F29" s="29"/>
      <c r="G29" s="29"/>
    </row>
    <row r="30">
      <c r="A30" s="66"/>
      <c r="B30" s="31"/>
      <c r="C30" s="67"/>
      <c r="D30" s="59"/>
      <c r="E30" s="67"/>
      <c r="F30" s="67"/>
      <c r="G30" s="67"/>
    </row>
    <row r="31">
      <c r="A31" s="58"/>
      <c r="B31" s="29"/>
      <c r="C31" s="29"/>
      <c r="D31" s="53"/>
      <c r="E31" s="29"/>
      <c r="F31" s="29"/>
      <c r="G31" s="29"/>
    </row>
    <row r="32">
      <c r="A32" s="66"/>
      <c r="B32" s="31"/>
      <c r="C32" s="31"/>
      <c r="D32" s="59"/>
      <c r="E32" s="67"/>
      <c r="F32" s="67"/>
      <c r="G32" s="67"/>
    </row>
    <row r="33">
      <c r="A33" s="58"/>
      <c r="B33" s="29"/>
      <c r="C33" s="72" t="s">
        <v>215</v>
      </c>
      <c r="D33" s="53"/>
      <c r="E33" s="29"/>
      <c r="F33" s="29"/>
      <c r="G33" s="29"/>
    </row>
    <row r="34">
      <c r="A34" s="66"/>
      <c r="B34" s="31"/>
      <c r="C34" s="31"/>
      <c r="D34" s="31"/>
      <c r="E34" s="31"/>
      <c r="F34" s="31"/>
      <c r="G34" s="31"/>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7" t="s">
        <v>59</v>
      </c>
      <c r="B1" s="43" t="s">
        <v>216</v>
      </c>
      <c r="C1" s="43" t="s">
        <v>217</v>
      </c>
      <c r="D1" s="78" t="s">
        <v>218</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219</v>
      </c>
      <c r="B1" s="4" t="s">
        <v>220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221</v>
      </c>
      <c r="C1" s="4" t="s">
        <v>222</v>
      </c>
      <c r="D1" s="4" t="s">
        <v>223</v>
      </c>
      <c r="E1" s="4" t="s">
        <v>224</v>
      </c>
      <c r="F1" s="4" t="s">
        <v>66</v>
      </c>
    </row>
    <row r="2">
      <c r="A2" s="3"/>
      <c r="B2" s="79" t="s">
        <v>225</v>
      </c>
      <c r="C2" s="79" t="s">
        <v>226</v>
      </c>
      <c r="D2" s="79">
        <v>3.11</v>
      </c>
      <c r="E2" s="80" t="s">
        <v>227</v>
      </c>
      <c r="F2" s="81"/>
    </row>
    <row r="3">
      <c r="A3" s="3"/>
      <c r="B3" s="79" t="s">
        <v>228</v>
      </c>
      <c r="C3" s="79" t="s">
        <v>229</v>
      </c>
      <c r="D3" s="79" t="s">
        <v>230</v>
      </c>
      <c r="E3" s="80" t="s">
        <v>231</v>
      </c>
      <c r="F3" s="82"/>
    </row>
    <row r="4">
      <c r="A4" s="3"/>
      <c r="B4" s="79" t="s">
        <v>232</v>
      </c>
      <c r="C4" s="79" t="s">
        <v>233</v>
      </c>
      <c r="D4" s="80">
        <v>9.7</v>
      </c>
      <c r="E4" s="80" t="s">
        <v>234</v>
      </c>
      <c r="F4" s="82"/>
    </row>
    <row r="5">
      <c r="A5" s="3"/>
      <c r="B5" s="79" t="s">
        <v>235</v>
      </c>
      <c r="C5" s="79" t="s">
        <v>236</v>
      </c>
      <c r="D5" s="79" t="s">
        <v>69</v>
      </c>
      <c r="E5" s="80" t="s">
        <v>237</v>
      </c>
      <c r="F5" s="82"/>
    </row>
    <row r="6">
      <c r="A6" s="3"/>
      <c r="B6" s="80" t="s">
        <v>238</v>
      </c>
      <c r="C6" s="79" t="s">
        <v>239</v>
      </c>
      <c r="D6" s="79" t="s">
        <v>240</v>
      </c>
      <c r="E6" s="80" t="s">
        <v>234</v>
      </c>
      <c r="F6" s="82"/>
    </row>
    <row r="7">
      <c r="A7" s="3"/>
      <c r="B7" s="79" t="s">
        <v>241</v>
      </c>
      <c r="C7" s="79" t="s">
        <v>242</v>
      </c>
      <c r="D7" s="79">
        <v>19.01</v>
      </c>
      <c r="E7" s="80" t="s">
        <v>231</v>
      </c>
      <c r="F7" s="82"/>
    </row>
    <row r="8">
      <c r="A8" s="3"/>
      <c r="B8" s="79" t="s">
        <v>243</v>
      </c>
      <c r="C8" s="79" t="s">
        <v>244</v>
      </c>
      <c r="D8" s="79" t="s">
        <v>245</v>
      </c>
      <c r="E8" s="79" t="s">
        <v>231</v>
      </c>
      <c r="F8" s="82"/>
    </row>
    <row r="9">
      <c r="A9" s="3"/>
      <c r="B9" s="79" t="s">
        <v>246</v>
      </c>
      <c r="C9" s="79" t="s">
        <v>247</v>
      </c>
      <c r="D9" s="79">
        <v>4.0</v>
      </c>
      <c r="E9" s="79" t="s">
        <v>231</v>
      </c>
      <c r="F9" s="82"/>
    </row>
    <row r="10">
      <c r="A10" s="3"/>
      <c r="B10" s="82"/>
      <c r="C10" s="82"/>
      <c r="D10" s="82"/>
      <c r="E10" s="82"/>
      <c r="F10" s="82"/>
    </row>
    <row r="11">
      <c r="A11" s="3"/>
      <c r="B11" s="82"/>
      <c r="C11" s="82"/>
      <c r="D11" s="82"/>
      <c r="E11" s="82"/>
      <c r="F11" s="82"/>
    </row>
    <row r="12">
      <c r="A12" s="3"/>
      <c r="B12" s="82"/>
      <c r="C12" s="82"/>
      <c r="D12" s="82"/>
      <c r="E12" s="82"/>
      <c r="F12" s="82"/>
    </row>
    <row r="13">
      <c r="A13" s="3"/>
      <c r="B13" s="82"/>
      <c r="C13" s="82"/>
      <c r="D13" s="82"/>
      <c r="E13" s="82"/>
      <c r="F13" s="82"/>
    </row>
    <row r="14">
      <c r="A14" s="3"/>
      <c r="B14" s="82"/>
      <c r="C14" s="82"/>
      <c r="D14" s="82"/>
      <c r="E14" s="82"/>
      <c r="F14" s="82"/>
    </row>
    <row r="15">
      <c r="A15" s="3"/>
      <c r="B15" s="82"/>
      <c r="C15" s="82"/>
      <c r="D15" s="82"/>
      <c r="E15" s="82"/>
      <c r="F15" s="82"/>
    </row>
    <row r="16">
      <c r="A16" s="3"/>
      <c r="B16" s="82"/>
      <c r="C16" s="82"/>
      <c r="D16" s="82"/>
      <c r="E16" s="82"/>
      <c r="F16" s="82"/>
    </row>
    <row r="17">
      <c r="A17" s="3"/>
      <c r="B17" s="82"/>
      <c r="C17" s="82"/>
      <c r="D17" s="82"/>
      <c r="E17" s="82"/>
      <c r="F17" s="82"/>
    </row>
    <row r="18">
      <c r="A18" s="3"/>
      <c r="B18" s="82"/>
      <c r="C18" s="82"/>
      <c r="D18" s="82"/>
      <c r="E18" s="82"/>
      <c r="F18" s="82"/>
    </row>
    <row r="19">
      <c r="A19" s="3"/>
      <c r="B19" s="82"/>
      <c r="C19" s="82"/>
      <c r="D19" s="82"/>
      <c r="E19" s="82"/>
      <c r="F19" s="82"/>
    </row>
    <row r="20">
      <c r="A20" s="3"/>
      <c r="B20" s="82"/>
      <c r="C20" s="82"/>
      <c r="D20" s="82"/>
      <c r="E20" s="82"/>
      <c r="F20" s="82"/>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3" t="str">
        <f>'Project Team'!A1</f>
        <v>Last Name</v>
      </c>
      <c r="B1" s="83" t="str">
        <f>'Project Team'!B1</f>
        <v>First Name</v>
      </c>
      <c r="C1" s="84" t="s">
        <v>248</v>
      </c>
      <c r="D1" s="85"/>
      <c r="E1" s="86"/>
      <c r="F1" s="87"/>
      <c r="G1" s="88"/>
      <c r="H1" s="88"/>
    </row>
    <row r="2">
      <c r="A2" s="89" t="str">
        <f>'Project Team'!A1</f>
        <v>Last Name</v>
      </c>
      <c r="B2" s="89" t="str">
        <f>#REF!</f>
        <v>#REF!</v>
      </c>
      <c r="C2" s="90"/>
      <c r="D2" s="91"/>
      <c r="E2" s="92" t="str">
        <f>average(C2:C10)</f>
        <v>#DIV/0!</v>
      </c>
      <c r="F2" s="93" t="str">
        <f>if(stdev(C2:C7) &gt; 0,"NOK", "OK")</f>
        <v>#DIV/0!</v>
      </c>
      <c r="G2" s="94"/>
      <c r="H2" s="94"/>
    </row>
    <row r="3">
      <c r="A3" s="95" t="str">
        <f t="shared" ref="A3:B3" si="1">#REF!</f>
        <v>#REF!</v>
      </c>
      <c r="B3" s="95" t="str">
        <f t="shared" si="1"/>
        <v>#REF!</v>
      </c>
      <c r="C3" s="90"/>
      <c r="D3" s="96"/>
      <c r="G3" s="97"/>
      <c r="H3" s="97"/>
    </row>
    <row r="4">
      <c r="A4" s="89" t="str">
        <f>'Project Team'!A3</f>
        <v>Justus</v>
      </c>
      <c r="B4" s="89" t="str">
        <f>'Project Team'!B3</f>
        <v>Kleinau</v>
      </c>
      <c r="C4" s="90"/>
      <c r="D4" s="91"/>
      <c r="G4" s="94"/>
      <c r="H4" s="94"/>
    </row>
    <row r="5">
      <c r="A5" s="95" t="str">
        <f t="shared" ref="A5:B5" si="2">#REF!</f>
        <v>#REF!</v>
      </c>
      <c r="B5" s="95" t="str">
        <f t="shared" si="2"/>
        <v>#REF!</v>
      </c>
      <c r="C5" s="90"/>
      <c r="D5" s="98"/>
      <c r="E5" s="98"/>
      <c r="F5" s="98"/>
      <c r="G5" s="97"/>
      <c r="H5" s="97"/>
    </row>
    <row r="6">
      <c r="A6" s="89" t="str">
        <f>'Project Team'!A4</f>
        <v>Harms</v>
      </c>
      <c r="B6" s="89" t="str">
        <f>'Project Team'!B4</f>
        <v>Finn</v>
      </c>
      <c r="C6" s="90"/>
      <c r="D6" s="99"/>
      <c r="E6" s="100">
        <v>0.0</v>
      </c>
      <c r="F6" s="101" t="s">
        <v>249</v>
      </c>
      <c r="G6" s="94"/>
      <c r="H6" s="94"/>
    </row>
    <row r="7">
      <c r="A7" s="95" t="str">
        <f>'Project Team'!A5</f>
        <v>Karkani</v>
      </c>
      <c r="B7" s="95" t="str">
        <f>'Project Team'!B5</f>
        <v>Despoina</v>
      </c>
      <c r="C7" s="102"/>
      <c r="D7" s="98"/>
      <c r="E7" s="100">
        <v>1.0</v>
      </c>
      <c r="F7" s="101" t="s">
        <v>250</v>
      </c>
      <c r="G7" s="97"/>
      <c r="H7" s="97"/>
    </row>
    <row r="8">
      <c r="A8" s="89" t="str">
        <f>'Project Team'!A6</f>
        <v>Karmokar</v>
      </c>
      <c r="B8" s="89" t="str">
        <f>'Project Team'!B6</f>
        <v>Subroto</v>
      </c>
      <c r="C8" s="90"/>
      <c r="D8" s="99"/>
      <c r="E8" s="100">
        <v>2.0</v>
      </c>
      <c r="F8" s="101" t="s">
        <v>251</v>
      </c>
      <c r="G8" s="94"/>
      <c r="H8" s="94"/>
    </row>
    <row r="9">
      <c r="A9" s="95" t="str">
        <f>'Project Team'!A8</f>
        <v>Uddin</v>
      </c>
      <c r="B9" s="95" t="str">
        <f>'Project Team'!B8</f>
        <v>Md Fahim</v>
      </c>
      <c r="C9" s="90"/>
      <c r="D9" s="98"/>
      <c r="E9" s="100">
        <v>3.0</v>
      </c>
      <c r="F9" s="101" t="s">
        <v>252</v>
      </c>
      <c r="G9" s="97"/>
      <c r="H9" s="97"/>
    </row>
    <row r="10">
      <c r="A10" s="89" t="str">
        <f>'Project Team'!A9</f>
        <v>Khanam</v>
      </c>
      <c r="B10" s="89" t="str">
        <f>'Project Team'!B9</f>
        <v>Faria Rahman</v>
      </c>
      <c r="C10" s="90"/>
      <c r="D10" s="99"/>
      <c r="E10" s="100">
        <v>5.0</v>
      </c>
      <c r="F10" s="101" t="s">
        <v>253</v>
      </c>
      <c r="G10" s="94"/>
      <c r="H10" s="94"/>
    </row>
    <row r="11">
      <c r="A11" s="103" t="s">
        <v>54</v>
      </c>
      <c r="B11" s="103" t="s">
        <v>55</v>
      </c>
      <c r="C11" s="90"/>
      <c r="D11" s="98"/>
      <c r="E11" s="100">
        <v>8.0</v>
      </c>
      <c r="F11" s="101" t="s">
        <v>254</v>
      </c>
      <c r="G11" s="97"/>
      <c r="H11" s="97"/>
    </row>
    <row r="12">
      <c r="A12" s="89"/>
      <c r="B12" s="89"/>
      <c r="C12" s="102"/>
      <c r="D12" s="99"/>
      <c r="E12" s="100">
        <v>13.0</v>
      </c>
      <c r="F12" s="101" t="s">
        <v>255</v>
      </c>
      <c r="G12" s="94"/>
      <c r="H12" s="94"/>
    </row>
    <row r="13">
      <c r="A13" s="95"/>
      <c r="B13" s="95"/>
      <c r="C13" s="98"/>
      <c r="D13" s="98"/>
      <c r="E13" s="98"/>
      <c r="F13" s="98"/>
      <c r="G13" s="97"/>
      <c r="H13" s="97"/>
    </row>
    <row r="14">
      <c r="A14" s="104" t="s">
        <v>256</v>
      </c>
      <c r="B14" s="105"/>
      <c r="C14" s="105"/>
      <c r="D14" s="105"/>
      <c r="E14" s="105"/>
      <c r="F14" s="105"/>
      <c r="G14" s="105"/>
      <c r="H14" s="105"/>
    </row>
    <row r="15">
      <c r="A15" s="106"/>
      <c r="B15" s="106"/>
      <c r="C15" s="106"/>
      <c r="D15" s="106"/>
      <c r="E15" s="106"/>
      <c r="F15" s="106"/>
      <c r="G15" s="106"/>
      <c r="H15" s="106"/>
    </row>
    <row r="16">
      <c r="A16" s="107" t="s">
        <v>257</v>
      </c>
      <c r="B16" s="108"/>
      <c r="C16" s="108"/>
      <c r="D16" s="108"/>
      <c r="E16" s="108"/>
      <c r="F16" s="108"/>
      <c r="G16" s="108"/>
      <c r="H16" s="108"/>
    </row>
    <row r="17">
      <c r="A17" s="109" t="s">
        <v>258</v>
      </c>
      <c r="B17" s="106"/>
      <c r="C17" s="106"/>
      <c r="D17" s="106"/>
      <c r="E17" s="106"/>
      <c r="F17" s="106"/>
      <c r="G17" s="106"/>
      <c r="H17" s="106"/>
    </row>
    <row r="18">
      <c r="A18" s="107" t="s">
        <v>259</v>
      </c>
      <c r="B18" s="108"/>
      <c r="C18" s="108"/>
      <c r="D18" s="108"/>
      <c r="E18" s="108"/>
      <c r="F18" s="108"/>
      <c r="G18" s="108"/>
      <c r="H18" s="108"/>
    </row>
    <row r="19">
      <c r="A19" s="106"/>
      <c r="B19" s="106"/>
      <c r="C19" s="106"/>
      <c r="D19" s="106"/>
      <c r="E19" s="106"/>
      <c r="F19" s="106"/>
      <c r="G19" s="106"/>
      <c r="H19" s="106"/>
    </row>
    <row r="20">
      <c r="A20" s="108"/>
      <c r="B20" s="108"/>
      <c r="C20" s="108"/>
      <c r="D20" s="108"/>
      <c r="E20" s="108"/>
      <c r="F20" s="108"/>
      <c r="G20" s="108"/>
      <c r="H20" s="10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