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Final Project Release plan" sheetId="11" r:id="rId13"/>
    <sheet state="visible" name="Burndown Chart"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<sst xmlns="http://schemas.openxmlformats.org/spreadsheetml/2006/main" count="417" uniqueCount="298">
  <si>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</si>
  <si>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</si>
  <si>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</si>
  <si>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</si>
  <si>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</si>
  <si>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</si>
  <si>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</si>
  <si>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</si>
  <si>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</si>
  <si>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</si>
  <si>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</si>
  <si>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</si>
  <si>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</si>
  <si>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</si>
  <si>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</si>
  <si>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</si>
  <si>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</si>
  <si>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</si>
  <si>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</si>
  <si>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</si>
  <si>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</si>
  <si>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</si>
  <si>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</si>
  <si>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</si>
  <si>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</si>
  <si>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</si>
  <si>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</si>
  <si>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</si>
  <si>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</si>
  <si>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</si>
  <si>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</si>
  <si>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</si>
  <si>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</si>
  <si>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</si>
  <si>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</si>
  <si>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</si>
  <si>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</si>
  <si>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</si>
  <si>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</si>
  <si>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</si>
  <si>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</si>
  <si>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</si>
  <si>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</si>
  <si>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</si>
  <si>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</si>
  <si>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</si>
  <si>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</si>
  <si>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</si>
  <si>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</si>
  <si>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</si>
  <si>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</si>
  <si>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</si>
  <si>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</si>
  <si>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</si>
  <si>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</si>
  <si>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</si>
  <si>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</si>
  <si>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</si>
  <si>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</si>
  <si>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</si>
  <si>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</si>
  <si>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</si>
  <si>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</si>
  <si>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</si>
  <si>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</si>
  <si>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</si>
  <si>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</si>
  <si>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</si>
  <si>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</si>
  <si>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</si>
  <si>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</si>
  <si>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</si>
  <si>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</si>
  <si>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</si>
  <si>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t>
  </si>
  <si>
    <t>Retrospective</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</si>
  <si>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</si>
  <si>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</si>
  <si>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</si>
  <si>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</si>
  <si>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</si>
  <si>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</si>
  <si>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</si>
  <si>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</si>
  <si>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</si>
  <si>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</si>
  <si>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</si>
  <si>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</si>
  <si>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</si>
  <si>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</si>
  <si>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</si>
  <si>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</si>
  <si>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</si>
  <si>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</si>
  <si>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</si>
  <si>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</si>
  <si>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</si>
  <si>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</si>
  <si>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</si>
  <si>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</si>
  <si>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</si>
  <si>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</si>
  <si>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</si>
  <si>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</si>
  <si>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</si>
  <si>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</si>
  <si>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</si>
  <si>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</si>
  <si>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</si>
  <si>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</si>
  <si>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</si>
  <si>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</si>
  <si>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</si>
  <si>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</si>
  <si>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</si>
  <si>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</si>
  <si>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</si>
  <si>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</si>
  <si>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</si>
  <si>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</si>
  <si>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</si>
  <si>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</si>
  <si>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</si>
  <si>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</si>
  <si>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</si>
  <si>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</si>
  <si>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</si>
  <si>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</si>
  <si>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</si>
  <si>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</si>
  <si>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</si>
  <si>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</si>
  <si>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</si>
  <si>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</si>
  <si>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</si>
  <si>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</si>
  <si>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</si>
  <si>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</si>
  <si>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</si>
  <si>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</si>
  <si>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</si>
  <si>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</si>
  <si>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MVP</t>
  </si>
  <si>
    <t>Minimum Viable Product</t>
  </si>
  <si>
    <t>Route Optimizer</t>
  </si>
  <si>
    <t>Leanest Rute based on different parameters</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</si>
  <si>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</si>
  <si>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</si>
  <si>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</si>
  <si>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</si>
  <si>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</si>
  <si>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</si>
  <si>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</si>
  <si>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Enhance optimization flexibility by introducing new cost parameters, improving user control over addresses and day selection, and ensuring intuitive navigation between calendar and map views.</t>
  </si>
  <si>
    <t>Empower users to tailor the optimization to their needs by exposing additional configuration parameters enabling greater control, flexibility, and relevance of route planning for real-world scenarios</t>
  </si>
  <si>
    <t>Improve optimization fairness and robustness, finalize documentation, and enhance the frontend experience through bug fixes and UI improvements.</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</si>
  <si>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</si>
  <si>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</si>
  <si>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</si>
  <si>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</si>
  <si>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</si>
  <si>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</si>
  <si>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</si>
  <si>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</si>
  <si>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</si>
  <si>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</si>
  <si>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</si>
  <si>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</si>
  <si>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</si>
  <si>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</si>
  <si>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</si>
  <si>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</si>
  <si>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</si>
  <si>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</si>
  <si>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</si>
  <si>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To strengthen the core data integrity and reporting capabilities by fully mapping vehicle identifiers, surfacing scheduling exceptions, and delivering precise route metrics—laying the foundation for reliable operations and stakeholder visibility.</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</si>
  <si>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</si>
  <si>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</si>
  <si>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</si>
  <si>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</si>
  <si>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</si>
  <si>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</si>
  <si>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</si>
  <si>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</si>
  <si>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</si>
  <si>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</si>
  <si>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</si>
  <si>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</si>
  <si>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</si>
  <si>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</si>
  <si>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</si>
  <si>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</si>
  <si>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</si>
  <si>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</si>
  <si>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</si>
  <si>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</si>
  <si>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</si>
  <si>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</si>
  <si>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</si>
  <si>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</si>
  <si>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</si>
  <si>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</si>
  <si>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</si>
  <si>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</si>
  <si>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</si>
  <si>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</si>
  <si>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</si>
  <si>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</si>
  <si>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</si>
  <si>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</si>
  <si>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</si>
  <si>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</si>
  <si>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</si>
  <si>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</si>
  <si>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</si>
  <si>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</si>
  <si>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</si>
  <si>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Map Veihicle Ids to Output</t>
  </si>
  <si>
    <t>Add “Number of Impossible Appointments” to Validation Report</t>
  </si>
  <si>
    <t>Include Depot Departure/Return Time in Validation Report</t>
  </si>
  <si>
    <t>Distinguish Between Appointments and Depots in Validation Report</t>
  </si>
  <si>
    <t>Rewrite Route Metrics Calculation to Be Accurate and Integrated</t>
  </si>
  <si>
    <t>PLEASE CREATE THE BURNDOWN CHART ON A NEW TAB USING THE DATA FROM THIS TAB</t>
  </si>
  <si>
    <r>
      <rPr>
        <color rgb="FF1155CC"/>
        <sz val="11.0"/>
        <u/>
      </rPr>
      <t>Exclude portion of waiting time from cost to accomodate breaks --&gt; possible ghost appointments for breaks</t>
    </r>
  </si>
  <si>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</si>
  <si>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</si>
  <si>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</si>
  <si>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</si>
  <si>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</si>
  <si>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</si>
  <si>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</si>
  <si>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</si>
  <si>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Add Route Metrics to Data Structure</t>
  </si>
  <si>
    <t>Implement Logic for Multiple Depots in the Solver</t>
  </si>
  <si>
    <t>Show Map view redirect</t>
  </si>
  <si>
    <t>Implement caching</t>
  </si>
  <si>
    <t>Add more parameters to configuration page</t>
  </si>
  <si>
    <t>Show Optimization details on Multi day selection page</t>
  </si>
  <si>
    <t>Back Button in Map View Details to Current Month</t>
  </si>
  <si>
    <t xml:space="preserve">Update Save Button in Company Configuration Page </t>
  </si>
  <si>
    <t>Integrate Metric Logic into Solver</t>
  </si>
  <si>
    <t xml:space="preserve">Add Cost Metrics to Data Structure </t>
  </si>
  <si>
    <t xml:space="preserve">Add Option to Exclude Vehicles </t>
  </si>
  <si>
    <t>Enhance Multi-Day Selection feature</t>
  </si>
  <si>
    <t>Exclude portion of waiting time from cost to accomodate breaks --&gt; possible ghost appointments for breaks</t>
  </si>
  <si>
    <t xml:space="preserve">Lunch Break UI Handling
</t>
  </si>
  <si>
    <t>Fixing the Validation report</t>
  </si>
  <si>
    <t xml:space="preserve">Implement Hover Effect on Buttons
</t>
  </si>
  <si>
    <t>Implement Testdata endpoint into frontend to directly populate it</t>
  </si>
  <si>
    <t>Implement MultiThread in API Calling</t>
  </si>
  <si>
    <t>Multi-Day Selection Uses Incorrect Company Info</t>
  </si>
  <si>
    <t>Feature Definition of Done</t>
  </si>
  <si>
    <t>Sprint Release Definition of Done</t>
  </si>
  <si>
    <t>Project Release Definition of Done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</si>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</sst>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b/>
      <name val="Arial"/>
    </font>
    <font>
      <name val="Arial"/>
    </font>
    <font>
      <color rgb="FFFFFFFF"/>
      <name val="Arial"/>
    </font>
    <font>
      <u/>
      <color rgb="FF0000FF"/>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7">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readingOrder="0"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horizontal="left" shrinkToFit="0" vertical="bottom" wrapText="0"/>
    </xf>
    <xf borderId="0" fillId="3" fontId="5" numFmtId="0" xfId="0" applyAlignment="1" applyFont="1">
      <alignment shrinkToFit="0" vertical="bottom" wrapText="0"/>
    </xf>
    <xf borderId="0" fillId="4" fontId="5" numFmtId="0" xfId="0" applyAlignment="1" applyFont="1">
      <alignment horizontal="left" shrinkToFit="0" vertical="bottom" wrapText="0"/>
    </xf>
    <xf borderId="0" fillId="4" fontId="2" numFmtId="0" xfId="0" applyAlignment="1" applyFont="1">
      <alignment readingOrder="0" shrinkToFit="0" wrapText="1"/>
    </xf>
    <xf borderId="0" fillId="3" fontId="6" numFmtId="0" xfId="0" applyAlignment="1" applyFont="1">
      <alignment shrinkToFit="0" vertical="bottom" wrapText="0"/>
    </xf>
    <xf borderId="0" fillId="4" fontId="5" numFmtId="0" xfId="0" applyAlignment="1" applyFont="1">
      <alignment horizontal="left" readingOrder="0" shrinkToFit="0" vertical="bottom" wrapText="0"/>
    </xf>
    <xf borderId="0" fillId="4" fontId="2" numFmtId="0" xfId="0" applyAlignment="1" applyFont="1">
      <alignment shrinkToFit="0"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5" numFmtId="0" xfId="0" applyAlignment="1" applyFont="1">
      <alignment horizontal="lef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4" fontId="6" numFmtId="0" xfId="0" applyAlignment="1" applyFont="1">
      <alignment readingOrder="0" shrinkToFit="0" vertical="bottom" wrapText="0"/>
    </xf>
    <xf borderId="0" fillId="3" fontId="1" numFmtId="0" xfId="0" applyAlignment="1" applyFont="1">
      <alignment readingOrder="0" shrinkToFit="0" wrapText="0"/>
    </xf>
    <xf borderId="0" fillId="0" fontId="8" numFmtId="0" xfId="0" applyAlignment="1" applyFont="1">
      <alignment readingOrder="0" shrinkToFit="0" wrapText="1"/>
    </xf>
    <xf borderId="0" fillId="7" fontId="5" numFmtId="0" xfId="0" applyAlignment="1" applyFont="1">
      <alignment readingOrder="0" shrinkToFit="0" vertical="bottom" wrapText="0"/>
    </xf>
    <xf borderId="0" fillId="3" fontId="6" numFmtId="0" xfId="0" applyAlignment="1" applyFont="1">
      <alignment shrinkToFit="0" vertical="bottom" wrapText="1"/>
    </xf>
    <xf borderId="0" fillId="3"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readingOrder="0" shrinkToFit="0" vertical="bottom"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9" numFmtId="4" xfId="0" applyAlignment="1" applyFill="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Tracking'!$A$2:$A$10,'Velocity Tracking'!$B$2:$B$10)</c:f>
            </c:strRef>
          </c:cat>
          <c:val>
            <c:numRef>
              <c:f>('Velocity Tracking'!$A$2:$A$10,'Velocity Tracking'!$B$2:$B$10)</c:f>
              <c:numCache/>
            </c:numRef>
          </c:val>
        </c:ser>
        <c:axId val="1336961388"/>
        <c:axId val="1882076152"/>
      </c:barChart>
      <c:catAx>
        <c:axId val="133696138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882076152"/>
      </c:catAx>
      <c:valAx>
        <c:axId val="1882076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3696138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Sprints 1-7</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plan'!$E$10:$E$14</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plan'!$G$10:$G$14</c:f>
              <c:numCache/>
            </c:numRef>
          </c:val>
        </c:ser>
        <c:axId val="1121716291"/>
        <c:axId val="818058660"/>
      </c:barChart>
      <c:catAx>
        <c:axId val="112171629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818058660"/>
      </c:catAx>
      <c:valAx>
        <c:axId val="8180586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1716291"/>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 7 - 12</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plan'!$E$10:$E$13</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plan'!$G$10:$G$13</c:f>
              <c:numCache/>
            </c:numRef>
          </c:val>
        </c:ser>
        <c:axId val="777834000"/>
        <c:axId val="70939071"/>
      </c:barChart>
      <c:catAx>
        <c:axId val="77783400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70939071"/>
      </c:catAx>
      <c:valAx>
        <c:axId val="709390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7783400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6</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285750</xdr:colOff>
      <xdr:row>6</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headerRowCount="0" ref="A1:M80"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id-Project Release pla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57" displayName="Table_9" name="Table_9" id="9">
  <tableColumns count="7">
    <tableColumn name="Exclude portion of waiting time from cost to accomodate breaks --&gt; possible ghost appointments for breaks"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amosproj/amos2025ss03-route-planning-app/issues/246" TargetMode="External"/><Relationship Id="rId2" Type="http://schemas.openxmlformats.org/officeDocument/2006/relationships/drawing" Target="../drawings/drawing11.xm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45819.0</v>
      </c>
      <c r="C12" s="8" t="s">
        <v>67</v>
      </c>
      <c r="D12" s="8" t="s">
        <v>43</v>
      </c>
      <c r="E12" s="9"/>
      <c r="F12" s="8" t="s">
        <v>27</v>
      </c>
      <c r="G12" s="8" t="s">
        <v>72</v>
      </c>
      <c r="H12" s="16"/>
    </row>
    <row r="13">
      <c r="A13" s="14">
        <v>11.0</v>
      </c>
      <c r="B13" s="17">
        <f t="shared" ref="B13:B17" si="2">B12+7</f>
        <v>45826</v>
      </c>
      <c r="C13" s="8" t="s">
        <v>43</v>
      </c>
      <c r="D13" s="8" t="s">
        <v>67</v>
      </c>
      <c r="E13" s="9"/>
      <c r="F13" s="8" t="s">
        <v>55</v>
      </c>
      <c r="G13" s="8" t="s">
        <v>72</v>
      </c>
      <c r="H13" s="16"/>
    </row>
    <row r="14">
      <c r="A14" s="14">
        <v>12.0</v>
      </c>
      <c r="B14" s="17">
        <f t="shared" si="2"/>
        <v>45833</v>
      </c>
      <c r="C14" s="8" t="s">
        <v>67</v>
      </c>
      <c r="D14" s="8" t="s">
        <v>43</v>
      </c>
      <c r="E14" s="9"/>
      <c r="F14" s="8" t="s">
        <v>71</v>
      </c>
      <c r="G14" s="8" t="s">
        <v>72</v>
      </c>
      <c r="H14" s="16"/>
    </row>
    <row r="15">
      <c r="A15" s="14">
        <v>13.0</v>
      </c>
      <c r="B15" s="17">
        <f t="shared" si="2"/>
        <v>45840</v>
      </c>
      <c r="C15" s="8" t="s">
        <v>43</v>
      </c>
      <c r="D15" s="8" t="s">
        <v>67</v>
      </c>
      <c r="E15" s="9"/>
      <c r="F15" s="8" t="s">
        <v>39</v>
      </c>
      <c r="G15" s="8" t="s">
        <v>72</v>
      </c>
      <c r="H15" s="16"/>
    </row>
    <row r="16">
      <c r="A16" s="14">
        <v>14.0</v>
      </c>
      <c r="B16" s="17">
        <f t="shared" si="2"/>
        <v>45847</v>
      </c>
      <c r="C16" s="8" t="s">
        <v>67</v>
      </c>
      <c r="D16" s="8" t="s">
        <v>43</v>
      </c>
      <c r="E16" s="9"/>
      <c r="F16" s="8" t="s">
        <v>70</v>
      </c>
      <c r="G16" s="8" t="s">
        <v>72</v>
      </c>
      <c r="H16" s="18" t="s">
        <v>74</v>
      </c>
    </row>
    <row r="17">
      <c r="A17" s="14">
        <v>15.0</v>
      </c>
      <c r="B17" s="17">
        <f t="shared" si="2"/>
        <v>45854</v>
      </c>
      <c r="C17" s="8" t="s">
        <v>43</v>
      </c>
      <c r="D17" s="8"/>
      <c r="E17" s="9"/>
      <c r="F17" s="8"/>
      <c r="G17" s="8" t="s">
        <v>72</v>
      </c>
      <c r="H17" s="18" t="s">
        <v>75</v>
      </c>
    </row>
    <row r="18">
      <c r="A18" s="14"/>
      <c r="B18" s="19"/>
      <c r="C18" s="9"/>
      <c r="D18" s="9"/>
      <c r="E18" s="9"/>
      <c r="F18" s="9"/>
      <c r="G18" s="9"/>
      <c r="H18" s="20"/>
    </row>
    <row r="19">
      <c r="A19" s="18" t="s">
        <v>76</v>
      </c>
      <c r="B19" s="21"/>
      <c r="C19" s="22"/>
      <c r="D19" s="22"/>
      <c r="E19" s="22"/>
      <c r="F19" s="22"/>
      <c r="G19" s="22"/>
      <c r="H19" s="20"/>
    </row>
    <row r="20">
      <c r="A20" s="22"/>
      <c r="B20" s="19"/>
      <c r="C20" s="9"/>
      <c r="D20" s="9"/>
      <c r="E20" s="9"/>
      <c r="F20" s="9"/>
      <c r="G20" s="9"/>
      <c r="H20" s="20"/>
    </row>
    <row r="21">
      <c r="A21" s="14"/>
      <c r="B21" s="19"/>
      <c r="C21" s="9"/>
      <c r="D21" s="9"/>
      <c r="E21" s="9"/>
      <c r="F21" s="9"/>
      <c r="G21" s="9"/>
      <c r="H21" s="2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3" t="s">
        <v>77</v>
      </c>
      <c r="B1" s="24" t="s">
        <v>78</v>
      </c>
    </row>
    <row r="2">
      <c r="A2" s="23"/>
      <c r="B2" s="25" t="s">
        <v>79</v>
      </c>
    </row>
    <row r="3">
      <c r="A3" s="26"/>
      <c r="B3" s="27" t="s">
        <v>80</v>
      </c>
    </row>
    <row r="4">
      <c r="A4" s="26"/>
      <c r="B4" s="24" t="s">
        <v>81</v>
      </c>
    </row>
    <row r="5">
      <c r="A5" s="26"/>
      <c r="B5" s="24" t="s">
        <v>82</v>
      </c>
    </row>
    <row r="6">
      <c r="A6" s="26"/>
      <c r="B6" s="24"/>
    </row>
    <row r="7">
      <c r="A7" s="28" t="s">
        <v>83</v>
      </c>
      <c r="B7" s="24" t="s">
        <v>84</v>
      </c>
    </row>
    <row r="8">
      <c r="A8" s="26"/>
      <c r="B8" s="24" t="s">
        <v>85</v>
      </c>
    </row>
    <row r="9">
      <c r="A9" s="26"/>
      <c r="B9" s="24" t="s">
        <v>86</v>
      </c>
    </row>
    <row r="10">
      <c r="A10" s="26"/>
      <c r="B10" s="24" t="s">
        <v>87</v>
      </c>
    </row>
    <row r="11">
      <c r="A11" s="26"/>
      <c r="B11" s="24" t="s">
        <v>88</v>
      </c>
    </row>
    <row r="12">
      <c r="A12" s="26"/>
      <c r="B12" s="24"/>
    </row>
    <row r="13">
      <c r="A13" s="28" t="s">
        <v>89</v>
      </c>
      <c r="B13" s="25" t="s">
        <v>90</v>
      </c>
    </row>
    <row r="14">
      <c r="A14" s="28"/>
      <c r="B14" s="25" t="s">
        <v>91</v>
      </c>
    </row>
    <row r="15">
      <c r="A15" s="26"/>
      <c r="B15" s="27" t="s">
        <v>92</v>
      </c>
    </row>
    <row r="16">
      <c r="A16" s="26"/>
      <c r="B16" s="27" t="s">
        <v>93</v>
      </c>
    </row>
    <row r="17">
      <c r="A17" s="26"/>
      <c r="B17" s="27" t="s">
        <v>94</v>
      </c>
    </row>
    <row r="18">
      <c r="A18" s="26"/>
      <c r="B18" s="27" t="s">
        <v>95</v>
      </c>
    </row>
    <row r="19">
      <c r="A19" s="26"/>
      <c r="B19" s="27" t="s">
        <v>96</v>
      </c>
    </row>
    <row r="20">
      <c r="A20" s="26"/>
      <c r="B20" s="27" t="s">
        <v>97</v>
      </c>
    </row>
    <row r="21">
      <c r="A21" s="26"/>
      <c r="B21" s="27"/>
    </row>
    <row r="22">
      <c r="A22" s="28" t="s">
        <v>98</v>
      </c>
      <c r="B22" s="25" t="s">
        <v>99</v>
      </c>
    </row>
    <row r="23">
      <c r="A23" s="26"/>
      <c r="B23" s="24" t="s">
        <v>100</v>
      </c>
    </row>
    <row r="24">
      <c r="A24" s="26"/>
      <c r="B24" s="24" t="s">
        <v>101</v>
      </c>
    </row>
    <row r="25">
      <c r="A25" s="26"/>
      <c r="B25" s="24" t="s">
        <v>102</v>
      </c>
    </row>
    <row r="26">
      <c r="A26" s="26"/>
      <c r="B26" s="24"/>
    </row>
    <row r="27">
      <c r="A27" s="28" t="s">
        <v>103</v>
      </c>
      <c r="B27" s="25" t="s">
        <v>104</v>
      </c>
    </row>
    <row r="28">
      <c r="A28" s="28"/>
      <c r="B28" s="25" t="s">
        <v>105</v>
      </c>
    </row>
    <row r="29">
      <c r="A29" s="26"/>
      <c r="B29" s="27" t="s">
        <v>106</v>
      </c>
    </row>
    <row r="30">
      <c r="A30" s="26"/>
      <c r="B30" s="24" t="s">
        <v>107</v>
      </c>
    </row>
    <row r="31">
      <c r="A31" s="26"/>
      <c r="B31" s="24" t="s">
        <v>108</v>
      </c>
    </row>
    <row r="32">
      <c r="A32" s="26"/>
      <c r="B32" s="24" t="s">
        <v>109</v>
      </c>
    </row>
    <row r="33">
      <c r="A33" s="26"/>
      <c r="B33" s="24" t="s">
        <v>110</v>
      </c>
    </row>
    <row r="34">
      <c r="A34" s="26"/>
      <c r="B34" s="24" t="s">
        <v>111</v>
      </c>
    </row>
    <row r="35">
      <c r="A35" s="26"/>
      <c r="B35" s="24"/>
    </row>
    <row r="36">
      <c r="A36" s="28" t="s">
        <v>112</v>
      </c>
      <c r="B36" s="25" t="s">
        <v>113</v>
      </c>
    </row>
    <row r="37">
      <c r="A37" s="29"/>
      <c r="B37" s="24" t="s">
        <v>114</v>
      </c>
    </row>
    <row r="38">
      <c r="A38" s="29"/>
      <c r="B38" s="24" t="s">
        <v>115</v>
      </c>
    </row>
    <row r="39">
      <c r="A39" s="29"/>
      <c r="B39" s="29"/>
    </row>
    <row r="40">
      <c r="A40" s="28" t="s">
        <v>116</v>
      </c>
      <c r="B40" s="25" t="s">
        <v>117</v>
      </c>
    </row>
    <row r="41">
      <c r="A41" s="29"/>
      <c r="B41" s="24" t="s">
        <v>118</v>
      </c>
    </row>
    <row r="42">
      <c r="A42" s="29"/>
      <c r="B42" s="24"/>
    </row>
    <row r="43">
      <c r="A43" s="30" t="s">
        <v>119</v>
      </c>
      <c r="B43" s="31"/>
    </row>
    <row r="44">
      <c r="A44" s="30"/>
      <c r="B44" s="25" t="s">
        <v>120</v>
      </c>
    </row>
    <row r="45">
      <c r="A45" s="29"/>
      <c r="B45" s="29"/>
    </row>
    <row r="46">
      <c r="A46" s="30" t="s">
        <v>121</v>
      </c>
      <c r="B46" s="25"/>
    </row>
    <row r="47">
      <c r="A47" s="29"/>
      <c r="B47" s="24" t="s">
        <v>122</v>
      </c>
    </row>
    <row r="48">
      <c r="A48" s="29"/>
      <c r="B48" s="24" t="s">
        <v>123</v>
      </c>
    </row>
    <row r="49">
      <c r="A49" s="28" t="s">
        <v>124</v>
      </c>
      <c r="B49" s="30"/>
    </row>
    <row r="51">
      <c r="A51" s="32" t="s">
        <v>65</v>
      </c>
      <c r="B51" s="27" t="s">
        <v>125</v>
      </c>
    </row>
    <row r="52">
      <c r="A52" s="32" t="s">
        <v>126</v>
      </c>
      <c r="B52" s="27" t="s">
        <v>127</v>
      </c>
    </row>
    <row r="53">
      <c r="A53" s="32" t="s">
        <v>126</v>
      </c>
      <c r="B53" s="27" t="s">
        <v>128</v>
      </c>
    </row>
    <row r="54">
      <c r="A54" s="32" t="s">
        <v>129</v>
      </c>
      <c r="B54" s="27"/>
    </row>
    <row r="55">
      <c r="A55" s="32" t="s">
        <v>129</v>
      </c>
      <c r="B55" s="27" t="s">
        <v>130</v>
      </c>
    </row>
    <row r="56">
      <c r="A56" s="32" t="s">
        <v>129</v>
      </c>
      <c r="B56" s="27" t="s">
        <v>131</v>
      </c>
    </row>
    <row r="57">
      <c r="A57" s="32" t="s">
        <v>129</v>
      </c>
      <c r="B57" s="27" t="s">
        <v>132</v>
      </c>
    </row>
    <row r="58">
      <c r="A58" s="32" t="s">
        <v>129</v>
      </c>
      <c r="B58" s="27" t="s">
        <v>133</v>
      </c>
    </row>
    <row r="59">
      <c r="A59" s="32" t="s">
        <v>129</v>
      </c>
      <c r="B59" s="27" t="s">
        <v>134</v>
      </c>
    </row>
    <row r="60">
      <c r="A60" s="27" t="s">
        <v>129</v>
      </c>
      <c r="B60" s="27" t="s">
        <v>135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136</v>
      </c>
      <c r="B1" s="33" t="s">
        <v>137</v>
      </c>
    </row>
    <row r="2">
      <c r="A2" s="34"/>
      <c r="B2" s="35"/>
    </row>
    <row r="3">
      <c r="A3" s="36" t="s">
        <v>138</v>
      </c>
      <c r="B3" s="36"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7" t="s">
        <v>140</v>
      </c>
      <c r="B1" s="37" t="s">
        <v>141</v>
      </c>
    </row>
    <row r="2">
      <c r="A2" s="2" t="s">
        <v>142</v>
      </c>
      <c r="B2" s="2" t="s">
        <v>143</v>
      </c>
    </row>
    <row r="3">
      <c r="A3" s="2" t="s">
        <v>144</v>
      </c>
      <c r="B3" s="2" t="s">
        <v>145</v>
      </c>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8" t="s">
        <v>146</v>
      </c>
      <c r="B1" s="4" t="s">
        <v>147</v>
      </c>
    </row>
    <row r="2">
      <c r="A2" s="39">
        <v>1.0</v>
      </c>
      <c r="B2" s="27" t="s">
        <v>148</v>
      </c>
    </row>
    <row r="3">
      <c r="A3" s="39">
        <f t="shared" ref="A3:A16" si="1">A2+1</f>
        <v>2</v>
      </c>
      <c r="B3" s="27" t="s">
        <v>148</v>
      </c>
    </row>
    <row r="4">
      <c r="A4" s="39">
        <f t="shared" si="1"/>
        <v>3</v>
      </c>
      <c r="B4" s="27" t="s">
        <v>148</v>
      </c>
    </row>
    <row r="5">
      <c r="A5" s="39">
        <f t="shared" si="1"/>
        <v>4</v>
      </c>
      <c r="B5" s="27" t="s">
        <v>148</v>
      </c>
    </row>
    <row r="6">
      <c r="A6" s="39">
        <f t="shared" si="1"/>
        <v>5</v>
      </c>
      <c r="B6" s="27" t="s">
        <v>149</v>
      </c>
    </row>
    <row r="7">
      <c r="A7" s="39">
        <f t="shared" si="1"/>
        <v>6</v>
      </c>
      <c r="B7" s="27" t="s">
        <v>150</v>
      </c>
    </row>
    <row r="8">
      <c r="A8" s="39">
        <f t="shared" si="1"/>
        <v>7</v>
      </c>
      <c r="B8" s="2" t="s">
        <v>151</v>
      </c>
    </row>
    <row r="9">
      <c r="A9" s="39">
        <f t="shared" si="1"/>
        <v>8</v>
      </c>
      <c r="B9" s="27" t="s">
        <v>152</v>
      </c>
    </row>
    <row r="10">
      <c r="A10" s="39">
        <f t="shared" si="1"/>
        <v>9</v>
      </c>
      <c r="B10" s="27" t="s">
        <v>153</v>
      </c>
    </row>
    <row r="11">
      <c r="A11" s="39">
        <f t="shared" si="1"/>
        <v>10</v>
      </c>
      <c r="B11" s="27" t="s">
        <v>154</v>
      </c>
    </row>
    <row r="12">
      <c r="A12" s="39">
        <f t="shared" si="1"/>
        <v>11</v>
      </c>
      <c r="B12" s="2" t="s">
        <v>155</v>
      </c>
    </row>
    <row r="13">
      <c r="A13" s="39">
        <f t="shared" si="1"/>
        <v>12</v>
      </c>
      <c r="B13" s="3"/>
    </row>
    <row r="14">
      <c r="A14" s="39">
        <f t="shared" si="1"/>
        <v>13</v>
      </c>
      <c r="B14" s="3"/>
    </row>
    <row r="15">
      <c r="A15" s="39">
        <f t="shared" si="1"/>
        <v>14</v>
      </c>
      <c r="B15" s="3"/>
    </row>
    <row r="16">
      <c r="A16" s="39">
        <f t="shared" si="1"/>
        <v>15</v>
      </c>
      <c r="B16" s="3"/>
    </row>
    <row r="17">
      <c r="A17" s="39"/>
      <c r="B17" s="3"/>
    </row>
    <row r="18">
      <c r="A18" s="39"/>
      <c r="B18" s="3"/>
    </row>
    <row r="19">
      <c r="A19" s="40"/>
      <c r="B19" s="3"/>
    </row>
    <row r="20">
      <c r="A20" s="40"/>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8" t="s">
        <v>146</v>
      </c>
      <c r="B1" s="4" t="s">
        <v>156</v>
      </c>
      <c r="C1" s="4" t="s">
        <v>157</v>
      </c>
    </row>
    <row r="2">
      <c r="A2" s="39">
        <v>1.0</v>
      </c>
      <c r="B2" s="2"/>
      <c r="C2" s="2"/>
    </row>
    <row r="3">
      <c r="A3" s="39">
        <f t="shared" ref="A3:A16" si="1">A2+1</f>
        <v>2</v>
      </c>
      <c r="B3" s="2">
        <f>SUM('Mid-Project Release plan'!F25:F28)</f>
        <v>11</v>
      </c>
      <c r="C3" s="2"/>
    </row>
    <row r="4">
      <c r="A4" s="39">
        <f t="shared" si="1"/>
        <v>3</v>
      </c>
      <c r="B4" s="2">
        <f>SUM('Mid-Project Release plan'!F30:F41)</f>
        <v>39</v>
      </c>
      <c r="C4" s="2"/>
    </row>
    <row r="5">
      <c r="A5" s="39">
        <f t="shared" si="1"/>
        <v>4</v>
      </c>
      <c r="B5" s="2">
        <f>SUM('Mid-Project Release plan'!F42:F49)</f>
        <v>37</v>
      </c>
      <c r="C5" s="2"/>
    </row>
    <row r="6">
      <c r="A6" s="39">
        <f t="shared" si="1"/>
        <v>5</v>
      </c>
      <c r="B6" s="2">
        <f>SUM('Mid-Project Release plan'!F50:F54)</f>
        <v>37</v>
      </c>
      <c r="C6" s="2"/>
    </row>
    <row r="7">
      <c r="A7" s="39">
        <f t="shared" si="1"/>
        <v>6</v>
      </c>
      <c r="B7" s="2">
        <f>SUM('Mid-Project Release plan'!F55:F66)</f>
        <v>57</v>
      </c>
      <c r="C7" s="2"/>
    </row>
    <row r="8">
      <c r="A8" s="39">
        <f t="shared" si="1"/>
        <v>7</v>
      </c>
      <c r="B8" s="2">
        <f>SUM('Final Project Release plan'!F20:F28)</f>
        <v>44</v>
      </c>
      <c r="C8" s="3"/>
    </row>
    <row r="9">
      <c r="A9" s="39">
        <f t="shared" si="1"/>
        <v>8</v>
      </c>
      <c r="B9" s="2">
        <v>34.0</v>
      </c>
      <c r="C9" s="3"/>
    </row>
    <row r="10">
      <c r="A10" s="39">
        <f t="shared" si="1"/>
        <v>9</v>
      </c>
      <c r="B10" s="3">
        <f>SUM('Final Project Release plan'!F38:F45)</f>
        <v>32</v>
      </c>
      <c r="C10" s="3"/>
    </row>
    <row r="11">
      <c r="A11" s="39">
        <f t="shared" si="1"/>
        <v>10</v>
      </c>
      <c r="B11" s="3"/>
      <c r="C11" s="3"/>
    </row>
    <row r="12">
      <c r="A12" s="39">
        <f t="shared" si="1"/>
        <v>11</v>
      </c>
      <c r="B12" s="3"/>
      <c r="C12" s="3"/>
    </row>
    <row r="13">
      <c r="A13" s="39">
        <f t="shared" si="1"/>
        <v>12</v>
      </c>
      <c r="B13" s="3"/>
      <c r="C13" s="3"/>
    </row>
    <row r="14">
      <c r="A14" s="39">
        <f t="shared" si="1"/>
        <v>13</v>
      </c>
      <c r="B14" s="3"/>
      <c r="C14" s="3"/>
    </row>
    <row r="15">
      <c r="A15" s="39">
        <f t="shared" si="1"/>
        <v>14</v>
      </c>
      <c r="B15" s="3"/>
      <c r="C15" s="3"/>
    </row>
    <row r="16">
      <c r="A16" s="39">
        <f t="shared" si="1"/>
        <v>15</v>
      </c>
      <c r="B16" s="3"/>
      <c r="C16" s="3"/>
    </row>
    <row r="17">
      <c r="A17" s="39" t="s">
        <v>158</v>
      </c>
      <c r="C17" s="3">
        <f>AVERAGE(B2:B9)</f>
        <v>37</v>
      </c>
    </row>
    <row r="18">
      <c r="A18" s="39"/>
      <c r="B18" s="41" t="s">
        <v>159</v>
      </c>
      <c r="C18" s="41"/>
    </row>
    <row r="19">
      <c r="A19" s="40"/>
      <c r="B19" s="3"/>
      <c r="C19" s="3"/>
    </row>
    <row r="20">
      <c r="A20" s="40"/>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13" width="15.75"/>
  </cols>
  <sheetData>
    <row r="1">
      <c r="A1" s="42" t="s">
        <v>160</v>
      </c>
      <c r="B1" s="43" t="s">
        <v>161</v>
      </c>
      <c r="C1" s="44" t="s">
        <v>162</v>
      </c>
      <c r="D1" s="45" t="s">
        <v>163</v>
      </c>
      <c r="E1" s="45" t="s">
        <v>164</v>
      </c>
      <c r="F1" s="45" t="s">
        <v>165</v>
      </c>
      <c r="G1" s="45" t="s">
        <v>166</v>
      </c>
      <c r="H1" s="45"/>
      <c r="I1" s="45"/>
      <c r="J1" s="45"/>
      <c r="K1" s="45"/>
      <c r="L1" s="45"/>
      <c r="M1" s="45"/>
    </row>
    <row r="2">
      <c r="A2" s="46"/>
      <c r="B2" s="47"/>
      <c r="C2" s="31"/>
      <c r="D2" s="31"/>
      <c r="E2" s="31"/>
      <c r="F2" s="31"/>
      <c r="G2" s="31"/>
      <c r="H2" s="31"/>
      <c r="I2" s="31"/>
      <c r="J2" s="31"/>
      <c r="K2" s="31"/>
      <c r="L2" s="31"/>
      <c r="M2" s="31"/>
    </row>
    <row r="3">
      <c r="A3" s="48" t="s">
        <v>167</v>
      </c>
      <c r="B3" s="49"/>
      <c r="C3" s="50"/>
      <c r="D3" s="50"/>
      <c r="E3" s="50"/>
      <c r="F3" s="50"/>
      <c r="G3" s="50"/>
      <c r="H3" s="50"/>
      <c r="I3" s="50"/>
      <c r="J3" s="50"/>
      <c r="K3" s="50"/>
      <c r="L3" s="50"/>
      <c r="M3" s="50"/>
    </row>
    <row r="4">
      <c r="A4" s="46"/>
      <c r="B4" s="47"/>
      <c r="C4" s="31"/>
      <c r="D4" s="31"/>
      <c r="E4" s="31"/>
      <c r="F4" s="31"/>
      <c r="G4" s="31"/>
      <c r="H4" s="31"/>
      <c r="I4" s="31"/>
      <c r="J4" s="31"/>
      <c r="K4" s="31"/>
      <c r="L4" s="31"/>
      <c r="M4" s="31"/>
    </row>
    <row r="5">
      <c r="A5" s="51" t="s">
        <v>168</v>
      </c>
      <c r="B5" s="52"/>
      <c r="C5" s="29"/>
      <c r="D5" s="53">
        <f>sum(D8:D16)</f>
        <v>170</v>
      </c>
      <c r="E5" s="53">
        <f>D5</f>
        <v>170</v>
      </c>
      <c r="F5" s="29"/>
      <c r="G5" s="29"/>
      <c r="H5" s="29"/>
      <c r="I5" s="29"/>
      <c r="J5" s="29"/>
      <c r="K5" s="29"/>
      <c r="L5" s="29"/>
      <c r="M5" s="29"/>
    </row>
    <row r="6">
      <c r="A6" s="46"/>
      <c r="B6" s="47"/>
      <c r="C6" s="31"/>
      <c r="D6" s="31"/>
      <c r="E6" s="31"/>
      <c r="F6" s="31"/>
      <c r="G6" s="31"/>
      <c r="H6" s="31"/>
      <c r="I6" s="31"/>
      <c r="J6" s="31"/>
      <c r="K6" s="31"/>
      <c r="L6" s="31"/>
      <c r="M6" s="31"/>
    </row>
    <row r="7">
      <c r="A7" s="54" t="s">
        <v>160</v>
      </c>
      <c r="B7" s="55"/>
      <c r="C7" s="56"/>
      <c r="D7" s="56"/>
      <c r="E7" s="56"/>
      <c r="F7" s="56"/>
      <c r="G7" s="56"/>
      <c r="H7" s="56"/>
      <c r="I7" s="56"/>
      <c r="J7" s="56"/>
      <c r="K7" s="56"/>
      <c r="L7" s="56"/>
      <c r="M7" s="56"/>
    </row>
    <row r="8">
      <c r="A8" s="46"/>
      <c r="B8" s="47"/>
      <c r="C8" s="31"/>
      <c r="D8" s="31"/>
      <c r="E8" s="57" t="s">
        <v>169</v>
      </c>
      <c r="F8" s="31"/>
      <c r="G8" s="57" t="s">
        <v>170</v>
      </c>
      <c r="H8" s="57"/>
      <c r="I8" s="57"/>
      <c r="J8" s="57"/>
      <c r="K8" s="57"/>
      <c r="L8" s="57"/>
      <c r="M8" s="57"/>
    </row>
    <row r="9">
      <c r="A9" s="58">
        <v>1.0</v>
      </c>
      <c r="B9" s="27" t="s">
        <v>171</v>
      </c>
      <c r="D9" s="53">
        <f>sum(D19:D24)</f>
        <v>0</v>
      </c>
      <c r="E9" s="53">
        <f>$D$5</f>
        <v>170</v>
      </c>
      <c r="F9" s="53">
        <f>sum(F19:F24)</f>
        <v>0</v>
      </c>
      <c r="G9" s="53">
        <f>$D$5</f>
        <v>170</v>
      </c>
      <c r="H9" s="53"/>
      <c r="I9" s="53"/>
      <c r="J9" s="53"/>
      <c r="K9" s="53"/>
      <c r="L9" s="53"/>
      <c r="M9" s="53"/>
    </row>
    <row r="10">
      <c r="A10" s="46">
        <f t="shared" ref="A10:A11" si="1">A9+1</f>
        <v>2</v>
      </c>
      <c r="B10" s="27" t="s">
        <v>172</v>
      </c>
      <c r="C10" s="31"/>
      <c r="D10" s="59">
        <f>sum(D25:D29)</f>
        <v>14</v>
      </c>
      <c r="E10" s="59">
        <f t="shared" ref="E10:E14" si="2">E9-D9</f>
        <v>170</v>
      </c>
      <c r="F10" s="59">
        <f>sum(F25:F29)</f>
        <v>11</v>
      </c>
      <c r="G10" s="59">
        <f t="shared" ref="G10:G14" si="3">G9-F9</f>
        <v>170</v>
      </c>
      <c r="H10" s="59"/>
      <c r="I10" s="59"/>
      <c r="J10" s="59"/>
      <c r="K10" s="59"/>
      <c r="L10" s="59"/>
      <c r="M10" s="59"/>
    </row>
    <row r="11">
      <c r="A11" s="58">
        <f t="shared" si="1"/>
        <v>3</v>
      </c>
      <c r="B11" s="27" t="s">
        <v>173</v>
      </c>
      <c r="C11" s="29"/>
      <c r="D11" s="53">
        <f>sum(D30:D41)</f>
        <v>44</v>
      </c>
      <c r="E11" s="53">
        <f t="shared" si="2"/>
        <v>156</v>
      </c>
      <c r="F11" s="53">
        <f>sum(F30:F41)</f>
        <v>39</v>
      </c>
      <c r="G11" s="53">
        <f t="shared" si="3"/>
        <v>159</v>
      </c>
      <c r="H11" s="53"/>
      <c r="I11" s="53"/>
      <c r="J11" s="53"/>
      <c r="K11" s="53"/>
      <c r="L11" s="53"/>
      <c r="M11" s="53"/>
    </row>
    <row r="12">
      <c r="A12" s="60">
        <v>4.0</v>
      </c>
      <c r="B12" s="27" t="s">
        <v>174</v>
      </c>
      <c r="C12" s="31"/>
      <c r="D12" s="31">
        <f>sum(D42:D49)</f>
        <v>33</v>
      </c>
      <c r="E12" s="31">
        <f t="shared" si="2"/>
        <v>112</v>
      </c>
      <c r="F12" s="31">
        <f>sum(F42:F49)</f>
        <v>37</v>
      </c>
      <c r="G12" s="31">
        <f t="shared" si="3"/>
        <v>120</v>
      </c>
      <c r="H12" s="31"/>
      <c r="I12" s="31"/>
      <c r="J12" s="31"/>
      <c r="K12" s="31"/>
      <c r="L12" s="31"/>
      <c r="M12" s="31"/>
    </row>
    <row r="13">
      <c r="A13" s="58">
        <v>5.0</v>
      </c>
      <c r="B13" s="27" t="s">
        <v>149</v>
      </c>
      <c r="C13" s="29"/>
      <c r="D13" s="53">
        <f>sum(D50:D54)</f>
        <v>29</v>
      </c>
      <c r="E13" s="53">
        <f t="shared" si="2"/>
        <v>79</v>
      </c>
      <c r="F13" s="53">
        <f>sum(F50:F54)</f>
        <v>37</v>
      </c>
      <c r="G13" s="29">
        <f t="shared" si="3"/>
        <v>83</v>
      </c>
      <c r="H13" s="29"/>
      <c r="I13" s="29"/>
      <c r="J13" s="29"/>
      <c r="K13" s="29"/>
      <c r="L13" s="29"/>
      <c r="M13" s="29"/>
    </row>
    <row r="14">
      <c r="A14" s="60">
        <v>6.0</v>
      </c>
      <c r="B14" s="27" t="s">
        <v>150</v>
      </c>
      <c r="C14" s="31"/>
      <c r="D14" s="31">
        <f>sum(D55:D65)</f>
        <v>50</v>
      </c>
      <c r="E14" s="31">
        <f t="shared" si="2"/>
        <v>50</v>
      </c>
      <c r="F14" s="31">
        <f>sum(F56:F59)</f>
        <v>29</v>
      </c>
      <c r="G14" s="31">
        <f t="shared" si="3"/>
        <v>46</v>
      </c>
      <c r="H14" s="31"/>
      <c r="I14" s="31"/>
      <c r="J14" s="31"/>
      <c r="K14" s="31"/>
      <c r="L14" s="31"/>
      <c r="M14" s="31"/>
    </row>
    <row r="15">
      <c r="A15" s="61">
        <v>7.0</v>
      </c>
      <c r="B15" s="27" t="s">
        <v>175</v>
      </c>
      <c r="C15" s="29"/>
      <c r="D15" s="24"/>
      <c r="E15" s="29"/>
      <c r="F15" s="29"/>
      <c r="G15" s="29"/>
      <c r="H15" s="29"/>
      <c r="I15" s="29"/>
      <c r="J15" s="29"/>
      <c r="K15" s="29"/>
      <c r="L15" s="29"/>
      <c r="M15" s="29"/>
    </row>
    <row r="16">
      <c r="A16" s="62"/>
      <c r="B16" s="63"/>
      <c r="C16" s="31"/>
      <c r="D16" s="31"/>
      <c r="E16" s="31"/>
      <c r="F16" s="31"/>
      <c r="G16" s="31"/>
      <c r="H16" s="31"/>
      <c r="I16" s="31"/>
      <c r="J16" s="31"/>
      <c r="K16" s="31"/>
      <c r="L16" s="31"/>
      <c r="M16" s="31"/>
    </row>
    <row r="17">
      <c r="A17" s="64" t="s">
        <v>176</v>
      </c>
      <c r="B17" s="65"/>
      <c r="C17" s="31"/>
      <c r="D17" s="31"/>
      <c r="E17" s="31"/>
      <c r="F17" s="31"/>
      <c r="G17" s="31"/>
      <c r="H17" s="31"/>
      <c r="I17" s="31"/>
      <c r="J17" s="31"/>
      <c r="K17" s="31"/>
      <c r="L17" s="31"/>
      <c r="M17" s="31"/>
    </row>
    <row r="18">
      <c r="A18" s="62"/>
      <c r="B18" s="63"/>
      <c r="C18" s="31"/>
      <c r="D18" s="35"/>
      <c r="E18" s="31"/>
      <c r="F18" s="31"/>
      <c r="G18" s="31"/>
      <c r="H18" s="31"/>
      <c r="I18" s="31"/>
      <c r="J18" s="31"/>
      <c r="K18" s="31"/>
      <c r="L18" s="31"/>
      <c r="M18" s="31"/>
    </row>
    <row r="19">
      <c r="A19" s="66">
        <f>A9</f>
        <v>1</v>
      </c>
      <c r="B19" s="67" t="s">
        <v>171</v>
      </c>
      <c r="C19" s="67" t="s">
        <v>148</v>
      </c>
      <c r="D19" s="67"/>
      <c r="E19" s="29"/>
      <c r="F19" s="29"/>
      <c r="G19" s="29"/>
      <c r="H19" s="29"/>
      <c r="I19" s="29"/>
      <c r="J19" s="29"/>
      <c r="K19" s="29"/>
      <c r="L19" s="29"/>
      <c r="M19" s="29"/>
    </row>
    <row r="20">
      <c r="A20" s="62"/>
      <c r="B20" s="68"/>
      <c r="C20" s="34"/>
      <c r="D20" s="35"/>
      <c r="E20" s="34"/>
      <c r="F20" s="34"/>
      <c r="G20" s="31"/>
      <c r="H20" s="31"/>
      <c r="I20" s="31"/>
      <c r="J20" s="31"/>
      <c r="K20" s="31"/>
      <c r="L20" s="31"/>
      <c r="M20" s="31"/>
    </row>
    <row r="21">
      <c r="A21" s="46"/>
      <c r="B21" s="47"/>
      <c r="C21" s="34"/>
      <c r="D21" s="35"/>
      <c r="E21" s="34"/>
      <c r="F21" s="34"/>
      <c r="G21" s="47"/>
      <c r="H21" s="47"/>
      <c r="I21" s="47"/>
      <c r="J21" s="47"/>
      <c r="K21" s="47"/>
      <c r="L21" s="47"/>
      <c r="M21" s="47"/>
    </row>
    <row r="22">
      <c r="A22" s="62"/>
      <c r="B22" s="68"/>
      <c r="C22" s="34"/>
      <c r="D22" s="35"/>
      <c r="E22" s="34"/>
      <c r="F22" s="34"/>
      <c r="G22" s="31"/>
      <c r="H22" s="31"/>
      <c r="I22" s="31"/>
      <c r="J22" s="31"/>
      <c r="K22" s="31"/>
      <c r="L22" s="31"/>
      <c r="M22" s="31"/>
    </row>
    <row r="23">
      <c r="A23" s="62"/>
      <c r="B23" s="68"/>
      <c r="C23" s="34"/>
      <c r="D23" s="35"/>
      <c r="E23" s="35"/>
      <c r="F23" s="34"/>
      <c r="G23" s="68"/>
      <c r="H23" s="68"/>
      <c r="I23" s="68"/>
      <c r="J23" s="68"/>
      <c r="K23" s="68"/>
      <c r="L23" s="68"/>
      <c r="M23" s="68"/>
    </row>
    <row r="24">
      <c r="A24" s="62"/>
      <c r="B24" s="68"/>
      <c r="C24" s="34"/>
      <c r="D24" s="35"/>
      <c r="E24" s="35"/>
      <c r="F24" s="34"/>
      <c r="G24" s="35"/>
      <c r="H24" s="35"/>
      <c r="I24" s="35"/>
      <c r="J24" s="35"/>
      <c r="K24" s="35"/>
      <c r="L24" s="35"/>
      <c r="M24" s="35"/>
    </row>
    <row r="25">
      <c r="A25" s="69">
        <f>A10</f>
        <v>2</v>
      </c>
      <c r="B25" s="67" t="s">
        <v>172</v>
      </c>
      <c r="C25" s="67" t="s">
        <v>177</v>
      </c>
      <c r="D25" s="67">
        <v>2.0</v>
      </c>
      <c r="E25" s="67"/>
      <c r="F25" s="70">
        <v>3.0</v>
      </c>
      <c r="G25" s="67"/>
      <c r="H25" s="67"/>
      <c r="I25" s="67"/>
      <c r="J25" s="67"/>
      <c r="K25" s="67"/>
      <c r="L25" s="67"/>
      <c r="M25" s="67"/>
    </row>
    <row r="26">
      <c r="A26" s="68"/>
      <c r="B26" s="68"/>
      <c r="C26" s="68" t="s">
        <v>178</v>
      </c>
      <c r="D26" s="35">
        <v>5.0</v>
      </c>
      <c r="E26" s="35"/>
      <c r="F26" s="34">
        <v>3.0</v>
      </c>
      <c r="G26" s="35"/>
      <c r="H26" s="35"/>
      <c r="I26" s="35"/>
      <c r="J26" s="35"/>
      <c r="K26" s="35"/>
      <c r="L26" s="35"/>
      <c r="M26" s="35"/>
    </row>
    <row r="27">
      <c r="A27" s="35"/>
      <c r="B27" s="35"/>
      <c r="C27" s="35" t="s">
        <v>179</v>
      </c>
      <c r="D27" s="35">
        <v>5.0</v>
      </c>
      <c r="E27" s="35"/>
      <c r="F27" s="34">
        <v>3.0</v>
      </c>
      <c r="G27" s="71"/>
      <c r="H27" s="35"/>
      <c r="I27" s="35"/>
      <c r="J27" s="35"/>
      <c r="K27" s="31"/>
      <c r="L27" s="31"/>
      <c r="M27" s="31"/>
    </row>
    <row r="28">
      <c r="A28" s="35"/>
      <c r="B28" s="35"/>
      <c r="C28" s="35" t="s">
        <v>180</v>
      </c>
      <c r="D28" s="35">
        <v>2.0</v>
      </c>
      <c r="E28" s="35"/>
      <c r="F28" s="34">
        <v>2.0</v>
      </c>
      <c r="G28" s="62"/>
      <c r="H28" s="68"/>
      <c r="I28" s="34"/>
      <c r="J28" s="35"/>
      <c r="K28" s="34"/>
      <c r="L28" s="34"/>
      <c r="M28" s="31"/>
    </row>
    <row r="29">
      <c r="A29" s="35"/>
      <c r="B29" s="35"/>
      <c r="C29" s="35"/>
      <c r="D29" s="35"/>
      <c r="E29" s="35"/>
      <c r="F29" s="34"/>
      <c r="G29" s="46"/>
      <c r="H29" s="47"/>
      <c r="I29" s="34"/>
      <c r="J29" s="35"/>
      <c r="K29" s="34"/>
      <c r="L29" s="34"/>
      <c r="M29" s="47"/>
    </row>
    <row r="30">
      <c r="A30" s="69">
        <f>A11</f>
        <v>3</v>
      </c>
      <c r="B30" s="67" t="s">
        <v>173</v>
      </c>
      <c r="C30" s="67" t="s">
        <v>181</v>
      </c>
      <c r="D30" s="67">
        <v>8.0</v>
      </c>
      <c r="E30" s="67"/>
      <c r="F30" s="67">
        <v>8.0</v>
      </c>
      <c r="G30" s="58"/>
      <c r="H30" s="72"/>
      <c r="I30" s="70"/>
      <c r="J30" s="67"/>
      <c r="K30" s="70"/>
      <c r="L30" s="70"/>
      <c r="M30" s="29"/>
    </row>
    <row r="31">
      <c r="A31" s="68"/>
      <c r="B31" s="68"/>
      <c r="C31" s="68" t="s">
        <v>182</v>
      </c>
      <c r="D31" s="35">
        <v>8.0</v>
      </c>
      <c r="E31" s="35"/>
      <c r="F31" s="34">
        <v>5.0</v>
      </c>
      <c r="G31" s="62"/>
      <c r="H31" s="68"/>
      <c r="I31" s="34"/>
      <c r="J31" s="35"/>
      <c r="K31" s="35"/>
      <c r="L31" s="34"/>
      <c r="M31" s="68"/>
    </row>
    <row r="32">
      <c r="A32" s="62"/>
      <c r="B32" s="68"/>
      <c r="C32" s="35" t="s">
        <v>183</v>
      </c>
      <c r="D32" s="35">
        <v>1.0</v>
      </c>
      <c r="E32" s="35"/>
      <c r="F32" s="34">
        <v>1.0</v>
      </c>
      <c r="G32" s="62"/>
      <c r="H32" s="68"/>
      <c r="I32" s="34"/>
      <c r="J32" s="35"/>
      <c r="K32" s="35"/>
      <c r="L32" s="34"/>
      <c r="M32" s="35"/>
    </row>
    <row r="33">
      <c r="A33" s="62"/>
      <c r="B33" s="68"/>
      <c r="C33" s="35" t="s">
        <v>184</v>
      </c>
      <c r="D33" s="35">
        <v>1.0</v>
      </c>
      <c r="E33" s="35"/>
      <c r="F33" s="34">
        <v>1.0</v>
      </c>
      <c r="G33" s="73"/>
      <c r="H33" s="35"/>
      <c r="I33" s="35"/>
      <c r="J33" s="35"/>
      <c r="K33" s="35"/>
      <c r="L33" s="34"/>
      <c r="M33" s="35"/>
    </row>
    <row r="34">
      <c r="A34" s="62"/>
      <c r="B34" s="68"/>
      <c r="C34" s="35" t="s">
        <v>185</v>
      </c>
      <c r="D34" s="35">
        <v>1.0</v>
      </c>
      <c r="E34" s="35"/>
      <c r="F34" s="34">
        <v>1.0</v>
      </c>
      <c r="G34" s="68"/>
      <c r="H34" s="68"/>
      <c r="I34" s="68"/>
      <c r="J34" s="35"/>
      <c r="K34" s="35"/>
      <c r="L34" s="34"/>
      <c r="M34" s="35"/>
    </row>
    <row r="35">
      <c r="A35" s="62"/>
      <c r="B35" s="68"/>
      <c r="C35" s="35" t="s">
        <v>186</v>
      </c>
      <c r="D35" s="35">
        <v>3.0</v>
      </c>
      <c r="E35" s="35"/>
      <c r="F35" s="34">
        <v>3.0</v>
      </c>
      <c r="G35" s="35"/>
      <c r="H35" s="35"/>
      <c r="I35" s="35"/>
      <c r="J35" s="35"/>
      <c r="K35" s="35"/>
      <c r="L35" s="34"/>
      <c r="M35" s="35"/>
    </row>
    <row r="36">
      <c r="A36" s="62"/>
      <c r="B36" s="68"/>
      <c r="C36" s="35" t="s">
        <v>187</v>
      </c>
      <c r="D36" s="35">
        <v>3.0</v>
      </c>
      <c r="E36" s="35"/>
      <c r="F36" s="35">
        <v>3.0</v>
      </c>
      <c r="G36" s="35"/>
      <c r="H36" s="35"/>
      <c r="I36" s="35"/>
      <c r="J36" s="35"/>
      <c r="K36" s="35"/>
      <c r="L36" s="34"/>
      <c r="M36" s="35"/>
    </row>
    <row r="37">
      <c r="A37" s="62"/>
      <c r="B37" s="68"/>
      <c r="C37" s="35" t="s">
        <v>188</v>
      </c>
      <c r="D37" s="35">
        <v>3.0</v>
      </c>
      <c r="E37" s="35"/>
      <c r="F37" s="34">
        <v>3.0</v>
      </c>
      <c r="G37" s="35"/>
      <c r="H37" s="35"/>
      <c r="I37" s="35"/>
      <c r="J37" s="35"/>
      <c r="K37" s="35"/>
      <c r="L37" s="34"/>
      <c r="M37" s="35"/>
    </row>
    <row r="38">
      <c r="A38" s="62"/>
      <c r="B38" s="68"/>
      <c r="C38" s="35" t="s">
        <v>189</v>
      </c>
      <c r="D38" s="35">
        <v>3.0</v>
      </c>
      <c r="E38" s="35"/>
      <c r="F38" s="34">
        <v>3.0</v>
      </c>
      <c r="G38" s="73"/>
      <c r="H38" s="35"/>
      <c r="I38" s="35"/>
      <c r="J38" s="35"/>
      <c r="K38" s="35"/>
      <c r="L38" s="35"/>
      <c r="M38" s="35"/>
    </row>
    <row r="39">
      <c r="A39" s="62"/>
      <c r="B39" s="68"/>
      <c r="C39" s="35" t="s">
        <v>190</v>
      </c>
      <c r="D39" s="35">
        <v>5.0</v>
      </c>
      <c r="E39" s="35"/>
      <c r="F39" s="34">
        <v>3.0</v>
      </c>
      <c r="G39" s="35"/>
      <c r="H39" s="35"/>
      <c r="I39" s="35"/>
      <c r="J39" s="35"/>
      <c r="K39" s="35"/>
      <c r="L39" s="35"/>
      <c r="M39" s="35"/>
    </row>
    <row r="40">
      <c r="A40" s="62"/>
      <c r="B40" s="68"/>
      <c r="C40" s="35" t="s">
        <v>191</v>
      </c>
      <c r="D40" s="35">
        <v>3.0</v>
      </c>
      <c r="E40" s="35"/>
      <c r="F40" s="34">
        <v>3.0</v>
      </c>
      <c r="G40" s="35"/>
      <c r="H40" s="35"/>
      <c r="I40" s="35"/>
      <c r="J40" s="35"/>
      <c r="K40" s="35"/>
      <c r="L40" s="35"/>
      <c r="M40" s="35"/>
    </row>
    <row r="41">
      <c r="A41" s="62"/>
      <c r="B41" s="68"/>
      <c r="C41" s="35" t="s">
        <v>192</v>
      </c>
      <c r="D41" s="35">
        <v>5.0</v>
      </c>
      <c r="E41" s="35"/>
      <c r="F41" s="34">
        <v>5.0</v>
      </c>
      <c r="G41" s="35"/>
      <c r="H41" s="35"/>
      <c r="I41" s="35"/>
      <c r="J41" s="35"/>
      <c r="K41" s="35"/>
      <c r="L41" s="35"/>
      <c r="M41" s="35"/>
    </row>
    <row r="42">
      <c r="A42" s="69">
        <v>4.0</v>
      </c>
      <c r="B42" s="67" t="s">
        <v>174</v>
      </c>
      <c r="C42" s="67" t="s">
        <v>193</v>
      </c>
      <c r="D42" s="67">
        <v>2.0</v>
      </c>
      <c r="E42" s="67"/>
      <c r="F42" s="70">
        <v>3.0</v>
      </c>
      <c r="G42" s="67"/>
      <c r="H42" s="67"/>
      <c r="I42" s="67"/>
      <c r="J42" s="67"/>
      <c r="K42" s="67"/>
      <c r="L42" s="67"/>
      <c r="M42" s="67"/>
    </row>
    <row r="43">
      <c r="A43" s="62"/>
      <c r="B43" s="68"/>
      <c r="C43" s="35" t="s">
        <v>194</v>
      </c>
      <c r="D43" s="35">
        <v>3.0</v>
      </c>
      <c r="E43" s="35"/>
      <c r="F43" s="34">
        <v>5.0</v>
      </c>
      <c r="G43" s="35"/>
      <c r="H43" s="35"/>
      <c r="I43" s="35"/>
      <c r="J43" s="35"/>
      <c r="K43" s="35"/>
      <c r="L43" s="35"/>
      <c r="M43" s="35"/>
    </row>
    <row r="44">
      <c r="A44" s="62"/>
      <c r="B44" s="68"/>
      <c r="C44" s="35" t="s">
        <v>195</v>
      </c>
      <c r="D44" s="35">
        <v>3.0</v>
      </c>
      <c r="E44" s="35"/>
      <c r="F44" s="34">
        <v>3.0</v>
      </c>
      <c r="G44" s="35"/>
      <c r="H44" s="35"/>
      <c r="I44" s="35"/>
      <c r="J44" s="35"/>
      <c r="K44" s="35"/>
      <c r="L44" s="35"/>
      <c r="M44" s="35"/>
    </row>
    <row r="45">
      <c r="A45" s="62"/>
      <c r="B45" s="68"/>
      <c r="C45" s="35" t="s">
        <v>196</v>
      </c>
      <c r="D45" s="35">
        <v>8.0</v>
      </c>
      <c r="E45" s="35"/>
      <c r="F45" s="34">
        <v>8.0</v>
      </c>
      <c r="G45" s="35"/>
      <c r="H45" s="35"/>
      <c r="I45" s="35"/>
      <c r="J45" s="35"/>
      <c r="K45" s="35"/>
      <c r="L45" s="35"/>
      <c r="M45" s="35"/>
    </row>
    <row r="46">
      <c r="A46" s="62"/>
      <c r="B46" s="68"/>
      <c r="C46" s="35" t="s">
        <v>197</v>
      </c>
      <c r="D46" s="35">
        <v>3.0</v>
      </c>
      <c r="E46" s="35"/>
      <c r="F46" s="34">
        <v>3.0</v>
      </c>
      <c r="G46" s="35"/>
      <c r="H46" s="35"/>
      <c r="I46" s="35"/>
      <c r="J46" s="35"/>
      <c r="K46" s="35"/>
      <c r="L46" s="35"/>
      <c r="M46" s="35"/>
    </row>
    <row r="47">
      <c r="A47" s="62"/>
      <c r="B47" s="68"/>
      <c r="C47" s="35" t="s">
        <v>198</v>
      </c>
      <c r="D47" s="35">
        <v>8.0</v>
      </c>
      <c r="E47" s="35"/>
      <c r="F47" s="34">
        <v>8.0</v>
      </c>
      <c r="G47" s="35"/>
      <c r="H47" s="35"/>
      <c r="I47" s="35"/>
      <c r="J47" s="35"/>
      <c r="K47" s="35"/>
      <c r="L47" s="35"/>
      <c r="M47" s="35"/>
    </row>
    <row r="48">
      <c r="A48" s="62"/>
      <c r="B48" s="68"/>
      <c r="C48" s="35" t="s">
        <v>199</v>
      </c>
      <c r="D48" s="35">
        <v>3.0</v>
      </c>
      <c r="E48" s="35"/>
      <c r="F48" s="34">
        <v>5.0</v>
      </c>
      <c r="G48" s="35"/>
      <c r="H48" s="35"/>
      <c r="I48" s="35"/>
      <c r="J48" s="35"/>
      <c r="K48" s="35"/>
      <c r="L48" s="35"/>
      <c r="M48" s="35"/>
    </row>
    <row r="49">
      <c r="A49" s="62"/>
      <c r="B49" s="68"/>
      <c r="C49" s="35" t="s">
        <v>200</v>
      </c>
      <c r="D49" s="35">
        <v>3.0</v>
      </c>
      <c r="E49" s="35"/>
      <c r="F49" s="34">
        <v>2.0</v>
      </c>
      <c r="G49" s="35"/>
      <c r="H49" s="35"/>
      <c r="I49" s="35"/>
      <c r="J49" s="35"/>
      <c r="K49" s="35"/>
      <c r="L49" s="35"/>
      <c r="M49" s="35"/>
    </row>
    <row r="50">
      <c r="A50" s="69">
        <v>5.0</v>
      </c>
      <c r="B50" s="67" t="s">
        <v>149</v>
      </c>
      <c r="C50" s="67" t="s">
        <v>201</v>
      </c>
      <c r="D50" s="67">
        <v>5.0</v>
      </c>
      <c r="E50" s="67"/>
      <c r="F50" s="67">
        <v>5.0</v>
      </c>
      <c r="G50" s="67"/>
      <c r="H50" s="67"/>
      <c r="I50" s="67"/>
      <c r="J50" s="67"/>
      <c r="K50" s="67"/>
      <c r="L50" s="67"/>
      <c r="M50" s="67"/>
    </row>
    <row r="51">
      <c r="A51" s="62"/>
      <c r="B51" s="68"/>
      <c r="C51" s="35" t="s">
        <v>202</v>
      </c>
      <c r="D51" s="35">
        <v>3.0</v>
      </c>
      <c r="E51" s="35"/>
      <c r="F51" s="35">
        <v>3.0</v>
      </c>
      <c r="G51" s="35"/>
      <c r="H51" s="35"/>
      <c r="I51" s="35"/>
      <c r="J51" s="35"/>
      <c r="K51" s="35"/>
      <c r="L51" s="35"/>
      <c r="M51" s="35"/>
    </row>
    <row r="52">
      <c r="A52" s="62"/>
      <c r="B52" s="68"/>
      <c r="C52" s="35" t="s">
        <v>203</v>
      </c>
      <c r="D52" s="35">
        <v>8.0</v>
      </c>
      <c r="E52" s="35"/>
      <c r="F52" s="35">
        <v>8.0</v>
      </c>
      <c r="G52" s="35"/>
      <c r="H52" s="35"/>
      <c r="I52" s="35"/>
      <c r="J52" s="35"/>
      <c r="K52" s="35"/>
      <c r="L52" s="35"/>
      <c r="M52" s="35"/>
    </row>
    <row r="53">
      <c r="A53" s="62"/>
      <c r="B53" s="68"/>
      <c r="C53" s="35" t="s">
        <v>204</v>
      </c>
      <c r="D53" s="35">
        <v>8.0</v>
      </c>
      <c r="E53" s="35"/>
      <c r="F53" s="35">
        <v>13.0</v>
      </c>
      <c r="G53" s="35"/>
      <c r="H53" s="35"/>
      <c r="I53" s="35"/>
      <c r="J53" s="35"/>
      <c r="K53" s="35"/>
      <c r="L53" s="35"/>
      <c r="M53" s="35"/>
    </row>
    <row r="54">
      <c r="A54" s="62"/>
      <c r="B54" s="68"/>
      <c r="C54" s="35" t="s">
        <v>205</v>
      </c>
      <c r="D54" s="35">
        <v>5.0</v>
      </c>
      <c r="E54" s="35"/>
      <c r="F54" s="35">
        <v>8.0</v>
      </c>
      <c r="G54" s="35"/>
      <c r="H54" s="35"/>
      <c r="I54" s="35"/>
      <c r="J54" s="35"/>
      <c r="K54" s="35"/>
      <c r="L54" s="35"/>
      <c r="M54" s="35"/>
    </row>
    <row r="55">
      <c r="A55" s="69">
        <v>6.0</v>
      </c>
      <c r="B55" s="67" t="s">
        <v>150</v>
      </c>
      <c r="C55" s="67" t="s">
        <v>206</v>
      </c>
      <c r="D55" s="67">
        <v>5.0</v>
      </c>
      <c r="E55" s="67"/>
      <c r="F55" s="67">
        <v>5.0</v>
      </c>
      <c r="G55" s="67"/>
      <c r="H55" s="67"/>
      <c r="I55" s="67"/>
      <c r="J55" s="67"/>
      <c r="K55" s="67"/>
      <c r="L55" s="67"/>
      <c r="M55" s="67"/>
    </row>
    <row r="56">
      <c r="A56" s="62"/>
      <c r="B56" s="68"/>
      <c r="C56" s="35" t="s">
        <v>207</v>
      </c>
      <c r="D56" s="35">
        <v>8.0</v>
      </c>
      <c r="E56" s="35"/>
      <c r="F56" s="35">
        <v>13.0</v>
      </c>
      <c r="G56" s="35"/>
      <c r="H56" s="35"/>
      <c r="I56" s="35"/>
      <c r="J56" s="35"/>
      <c r="K56" s="35"/>
      <c r="L56" s="35"/>
      <c r="M56" s="35"/>
    </row>
    <row r="57">
      <c r="A57" s="35"/>
      <c r="B57" s="35"/>
      <c r="C57" s="35" t="s">
        <v>208</v>
      </c>
      <c r="D57" s="35">
        <v>8.0</v>
      </c>
      <c r="E57" s="35"/>
      <c r="F57" s="35">
        <v>8.0</v>
      </c>
      <c r="G57" s="35"/>
      <c r="H57" s="35"/>
      <c r="I57" s="35"/>
      <c r="J57" s="35"/>
      <c r="K57" s="35"/>
      <c r="L57" s="35"/>
      <c r="M57" s="35"/>
    </row>
    <row r="58">
      <c r="A58" s="68"/>
      <c r="B58" s="68"/>
      <c r="C58" s="68" t="s">
        <v>209</v>
      </c>
      <c r="D58" s="74">
        <v>5.0</v>
      </c>
      <c r="E58" s="68"/>
      <c r="F58" s="74">
        <v>5.0</v>
      </c>
      <c r="G58" s="68"/>
      <c r="H58" s="68"/>
      <c r="I58" s="68"/>
      <c r="J58" s="68"/>
      <c r="K58" s="68"/>
      <c r="L58" s="68"/>
      <c r="M58" s="68"/>
    </row>
    <row r="59">
      <c r="A59" s="68"/>
      <c r="B59" s="68"/>
      <c r="C59" s="68" t="s">
        <v>210</v>
      </c>
      <c r="D59" s="68">
        <v>3.0</v>
      </c>
      <c r="E59" s="68"/>
      <c r="F59" s="74">
        <v>3.0</v>
      </c>
      <c r="G59" s="68"/>
      <c r="H59" s="68"/>
      <c r="I59" s="68"/>
      <c r="J59" s="68"/>
      <c r="K59" s="68"/>
      <c r="L59" s="68"/>
      <c r="M59" s="68"/>
    </row>
    <row r="60">
      <c r="A60" s="68"/>
      <c r="B60" s="68"/>
      <c r="C60" s="74" t="s">
        <v>211</v>
      </c>
      <c r="D60" s="74">
        <v>3.0</v>
      </c>
      <c r="E60" s="68"/>
      <c r="F60" s="74">
        <v>3.0</v>
      </c>
      <c r="G60" s="68"/>
      <c r="H60" s="68"/>
      <c r="I60" s="68"/>
      <c r="J60" s="68"/>
      <c r="K60" s="68"/>
      <c r="L60" s="68"/>
      <c r="M60" s="68"/>
    </row>
    <row r="61">
      <c r="A61" s="62"/>
      <c r="B61" s="68"/>
      <c r="C61" s="35" t="s">
        <v>212</v>
      </c>
      <c r="D61" s="75">
        <v>3.0</v>
      </c>
      <c r="E61" s="68"/>
      <c r="F61" s="74">
        <v>5.0</v>
      </c>
      <c r="G61" s="35"/>
      <c r="H61" s="35"/>
      <c r="I61" s="35"/>
      <c r="J61" s="35"/>
      <c r="K61" s="35"/>
      <c r="L61" s="35"/>
      <c r="M61" s="35"/>
    </row>
    <row r="62">
      <c r="A62" s="73"/>
      <c r="B62" s="34"/>
      <c r="C62" s="35" t="s">
        <v>213</v>
      </c>
      <c r="D62" s="35">
        <v>5.0</v>
      </c>
      <c r="E62" s="34"/>
      <c r="F62" s="74">
        <v>5.0</v>
      </c>
      <c r="G62" s="34"/>
      <c r="H62" s="34"/>
      <c r="I62" s="34"/>
      <c r="J62" s="34"/>
      <c r="K62" s="34"/>
      <c r="L62" s="34"/>
      <c r="M62" s="34"/>
    </row>
    <row r="63">
      <c r="A63" s="62"/>
      <c r="B63" s="68"/>
      <c r="C63" s="35" t="s">
        <v>214</v>
      </c>
      <c r="D63" s="74">
        <v>3.0</v>
      </c>
      <c r="E63" s="68"/>
      <c r="F63" s="74">
        <v>3.0</v>
      </c>
      <c r="G63" s="34"/>
      <c r="H63" s="34"/>
      <c r="I63" s="34"/>
      <c r="J63" s="34"/>
      <c r="K63" s="34"/>
      <c r="L63" s="34"/>
      <c r="M63" s="34"/>
    </row>
    <row r="64">
      <c r="A64" s="73"/>
      <c r="B64" s="35"/>
      <c r="C64" s="74" t="s">
        <v>215</v>
      </c>
      <c r="D64" s="74">
        <v>5.0</v>
      </c>
      <c r="E64" s="68"/>
      <c r="F64" s="74">
        <v>5.0</v>
      </c>
      <c r="G64" s="68"/>
      <c r="H64" s="68"/>
      <c r="I64" s="68"/>
      <c r="J64" s="68"/>
      <c r="K64" s="68"/>
      <c r="L64" s="68"/>
      <c r="M64" s="68"/>
    </row>
    <row r="65">
      <c r="A65" s="73"/>
      <c r="B65" s="35"/>
      <c r="C65" s="74" t="s">
        <v>216</v>
      </c>
      <c r="D65" s="74">
        <v>2.0</v>
      </c>
      <c r="E65" s="68"/>
      <c r="F65" s="74">
        <v>2.0</v>
      </c>
      <c r="G65" s="68"/>
      <c r="H65" s="68"/>
      <c r="I65" s="68"/>
      <c r="J65" s="68"/>
      <c r="K65" s="68"/>
      <c r="L65" s="68"/>
      <c r="M65" s="68"/>
    </row>
    <row r="66">
      <c r="A66" s="73"/>
      <c r="B66" s="35"/>
      <c r="C66" s="74"/>
      <c r="D66" s="74"/>
      <c r="E66" s="68"/>
      <c r="F66" s="74"/>
      <c r="G66" s="68"/>
      <c r="H66" s="68"/>
      <c r="I66" s="68"/>
      <c r="J66" s="68"/>
      <c r="K66" s="68"/>
      <c r="L66" s="68"/>
      <c r="M66" s="68"/>
    </row>
    <row r="67">
      <c r="A67" s="73"/>
      <c r="B67" s="34"/>
      <c r="C67" s="74"/>
      <c r="D67" s="74"/>
      <c r="E67" s="68"/>
      <c r="F67" s="74"/>
      <c r="G67" s="68"/>
      <c r="H67" s="68"/>
      <c r="I67" s="68"/>
      <c r="J67" s="68"/>
      <c r="K67" s="68"/>
      <c r="L67" s="68"/>
      <c r="M67" s="68"/>
    </row>
    <row r="68">
      <c r="A68" s="61">
        <v>7.0</v>
      </c>
      <c r="B68" s="67" t="s">
        <v>175</v>
      </c>
      <c r="C68" s="67" t="s">
        <v>217</v>
      </c>
      <c r="D68" s="76"/>
      <c r="E68" s="72"/>
      <c r="F68" s="76"/>
      <c r="G68" s="67"/>
      <c r="H68" s="67"/>
      <c r="I68" s="67"/>
      <c r="J68" s="67"/>
      <c r="K68" s="67"/>
      <c r="L68" s="67"/>
      <c r="M68" s="67"/>
    </row>
    <row r="69">
      <c r="A69" s="68"/>
      <c r="B69" s="68"/>
      <c r="C69" s="35" t="s">
        <v>218</v>
      </c>
      <c r="D69" s="74"/>
      <c r="E69" s="68"/>
      <c r="F69" s="74"/>
      <c r="G69" s="68"/>
      <c r="H69" s="68"/>
      <c r="I69" s="68"/>
      <c r="J69" s="68"/>
      <c r="K69" s="68"/>
      <c r="L69" s="68"/>
      <c r="M69" s="68"/>
    </row>
    <row r="70">
      <c r="A70" s="62"/>
      <c r="B70" s="68"/>
      <c r="C70" s="35" t="s">
        <v>219</v>
      </c>
      <c r="D70" s="74"/>
      <c r="E70" s="68"/>
      <c r="F70" s="74"/>
      <c r="G70" s="35"/>
      <c r="H70" s="35"/>
      <c r="I70" s="35"/>
      <c r="J70" s="35"/>
      <c r="K70" s="35"/>
      <c r="L70" s="35"/>
      <c r="M70" s="35"/>
    </row>
    <row r="71">
      <c r="A71" s="68"/>
      <c r="B71" s="68"/>
      <c r="C71" s="35" t="s">
        <v>220</v>
      </c>
      <c r="D71" s="74"/>
      <c r="E71" s="68"/>
      <c r="F71" s="74"/>
      <c r="G71" s="68"/>
      <c r="H71" s="68"/>
      <c r="I71" s="68"/>
      <c r="J71" s="68"/>
      <c r="K71" s="68"/>
      <c r="L71" s="68"/>
      <c r="M71" s="68"/>
    </row>
    <row r="72">
      <c r="A72" s="62"/>
      <c r="B72" s="68"/>
      <c r="C72" s="35" t="s">
        <v>221</v>
      </c>
      <c r="D72" s="74"/>
      <c r="E72" s="68"/>
      <c r="F72" s="74"/>
      <c r="G72" s="35"/>
      <c r="H72" s="35"/>
      <c r="I72" s="35"/>
      <c r="J72" s="35"/>
      <c r="K72" s="35"/>
      <c r="L72" s="35"/>
      <c r="M72" s="35"/>
    </row>
    <row r="73">
      <c r="A73" s="68"/>
      <c r="B73" s="68"/>
      <c r="C73" s="74"/>
      <c r="D73" s="74"/>
      <c r="E73" s="68"/>
      <c r="F73" s="74"/>
      <c r="G73" s="68"/>
      <c r="H73" s="68"/>
      <c r="I73" s="68"/>
      <c r="J73" s="68"/>
      <c r="K73" s="68"/>
      <c r="L73" s="68"/>
      <c r="M73" s="68"/>
    </row>
    <row r="74">
      <c r="A74" s="62"/>
      <c r="B74" s="68"/>
      <c r="C74" s="34"/>
      <c r="D74" s="74"/>
      <c r="E74" s="68"/>
      <c r="F74" s="74"/>
      <c r="G74" s="35"/>
      <c r="H74" s="35"/>
      <c r="I74" s="35"/>
      <c r="J74" s="35"/>
      <c r="K74" s="35"/>
      <c r="L74" s="35"/>
      <c r="M74" s="35"/>
    </row>
    <row r="75">
      <c r="A75" s="62"/>
      <c r="B75" s="68"/>
      <c r="C75" s="34"/>
      <c r="D75" s="74"/>
      <c r="E75" s="68"/>
      <c r="F75" s="74"/>
      <c r="G75" s="35"/>
      <c r="H75" s="35"/>
      <c r="I75" s="35"/>
      <c r="J75" s="35"/>
      <c r="K75" s="35"/>
      <c r="L75" s="35"/>
      <c r="M75" s="35"/>
    </row>
    <row r="76">
      <c r="A76" s="62"/>
      <c r="B76" s="68"/>
      <c r="C76" s="34"/>
      <c r="D76" s="74"/>
      <c r="E76" s="68"/>
      <c r="F76" s="74"/>
      <c r="G76" s="35"/>
      <c r="H76" s="35"/>
      <c r="I76" s="35"/>
      <c r="J76" s="35"/>
      <c r="K76" s="35"/>
      <c r="L76" s="35"/>
      <c r="M76" s="35"/>
    </row>
    <row r="77">
      <c r="A77" s="68"/>
      <c r="B77" s="68"/>
      <c r="C77" s="68"/>
      <c r="D77" s="74"/>
      <c r="E77" s="68"/>
      <c r="F77" s="74"/>
      <c r="G77" s="68"/>
      <c r="H77" s="68"/>
      <c r="I77" s="68"/>
      <c r="J77" s="68"/>
      <c r="K77" s="68"/>
      <c r="L77" s="68"/>
      <c r="M77" s="68"/>
    </row>
    <row r="78">
      <c r="A78" s="62"/>
      <c r="B78" s="68"/>
      <c r="C78" s="34"/>
      <c r="D78" s="74"/>
      <c r="E78" s="68"/>
      <c r="F78" s="74"/>
      <c r="G78" s="35"/>
      <c r="H78" s="35"/>
      <c r="I78" s="35"/>
      <c r="J78" s="35"/>
      <c r="K78" s="35"/>
      <c r="L78" s="35"/>
      <c r="M78" s="35"/>
    </row>
    <row r="79">
      <c r="A79" s="62"/>
      <c r="B79" s="68"/>
      <c r="C79" s="77" t="s">
        <v>222</v>
      </c>
      <c r="D79" s="59"/>
      <c r="E79" s="31"/>
      <c r="F79" s="31"/>
      <c r="G79" s="35"/>
      <c r="H79" s="35"/>
      <c r="I79" s="35"/>
      <c r="J79" s="35"/>
      <c r="K79" s="35"/>
      <c r="L79" s="35"/>
      <c r="M79" s="35"/>
    </row>
    <row r="80">
      <c r="A80" s="62"/>
      <c r="B80" s="68"/>
      <c r="C80" s="31"/>
      <c r="D80" s="31"/>
      <c r="E80" s="31"/>
      <c r="F80" s="31"/>
      <c r="G80" s="31"/>
      <c r="H80" s="31"/>
      <c r="I80" s="31"/>
      <c r="J80" s="31"/>
      <c r="K80" s="31"/>
      <c r="L80" s="31"/>
      <c r="M80"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47.63"/>
    <col customWidth="1" min="3" max="3" width="62.63"/>
    <col customWidth="1" min="4" max="7" width="15.75"/>
  </cols>
  <sheetData>
    <row r="1">
      <c r="A1" s="78" t="s">
        <v>223</v>
      </c>
      <c r="B1" s="43" t="s">
        <v>161</v>
      </c>
      <c r="C1" s="44" t="s">
        <v>162</v>
      </c>
      <c r="D1" s="45" t="s">
        <v>163</v>
      </c>
      <c r="E1" s="45" t="s">
        <v>164</v>
      </c>
      <c r="F1" s="45" t="s">
        <v>165</v>
      </c>
      <c r="G1" s="45" t="s">
        <v>166</v>
      </c>
    </row>
    <row r="2">
      <c r="A2" s="46"/>
      <c r="B2" s="47"/>
      <c r="C2" s="31"/>
      <c r="D2" s="31"/>
      <c r="E2" s="31"/>
      <c r="F2" s="31"/>
      <c r="G2" s="31"/>
    </row>
    <row r="3">
      <c r="A3" s="48" t="s">
        <v>167</v>
      </c>
      <c r="B3" s="49"/>
      <c r="C3" s="50"/>
      <c r="D3" s="50"/>
      <c r="E3" s="50"/>
      <c r="F3" s="50"/>
      <c r="G3" s="50"/>
    </row>
    <row r="4">
      <c r="A4" s="46"/>
      <c r="B4" s="47"/>
      <c r="C4" s="31"/>
      <c r="D4" s="31"/>
      <c r="E4" s="31"/>
      <c r="F4" s="31"/>
      <c r="G4" s="31"/>
    </row>
    <row r="5">
      <c r="A5" s="51" t="s">
        <v>168</v>
      </c>
      <c r="B5" s="52"/>
      <c r="C5" s="29"/>
      <c r="D5" s="53">
        <f>sum(D8:D16)</f>
        <v>151</v>
      </c>
      <c r="E5" s="53">
        <f>D5</f>
        <v>151</v>
      </c>
      <c r="F5" s="29"/>
      <c r="G5" s="29"/>
    </row>
    <row r="6">
      <c r="A6" s="46"/>
      <c r="B6" s="47"/>
      <c r="C6" s="31"/>
      <c r="D6" s="31"/>
      <c r="E6" s="31"/>
      <c r="F6" s="31"/>
      <c r="G6" s="31"/>
    </row>
    <row r="7">
      <c r="A7" s="79" t="s">
        <v>160</v>
      </c>
      <c r="B7" s="55"/>
      <c r="C7" s="56"/>
      <c r="D7" s="56"/>
      <c r="E7" s="56"/>
      <c r="F7" s="56"/>
      <c r="G7" s="56"/>
    </row>
    <row r="8">
      <c r="A8" s="80"/>
      <c r="B8" s="47"/>
      <c r="C8" s="31"/>
      <c r="D8" s="81"/>
      <c r="E8" s="82" t="s">
        <v>169</v>
      </c>
      <c r="F8" s="81"/>
      <c r="G8" s="82" t="s">
        <v>170</v>
      </c>
    </row>
    <row r="9">
      <c r="A9" s="61"/>
      <c r="B9" s="70"/>
      <c r="C9" s="70"/>
      <c r="D9" s="29">
        <v>0.0</v>
      </c>
      <c r="E9" s="53">
        <f>$D$5</f>
        <v>151</v>
      </c>
      <c r="F9" s="29">
        <v>0.0</v>
      </c>
      <c r="G9" s="53">
        <f>$D$5</f>
        <v>151</v>
      </c>
    </row>
    <row r="10">
      <c r="A10" s="46">
        <v>7.0</v>
      </c>
      <c r="B10" s="35" t="s">
        <v>151</v>
      </c>
      <c r="C10" s="31"/>
      <c r="D10" s="31">
        <f>sum(D20:D28)</f>
        <v>42</v>
      </c>
      <c r="E10" s="57">
        <f t="shared" ref="E10:E13" si="1">E9-D9</f>
        <v>151</v>
      </c>
      <c r="F10" s="31">
        <f>sum(F20:F28)</f>
        <v>44</v>
      </c>
      <c r="G10" s="57">
        <f t="shared" ref="G10:G13" si="2">G9-F9</f>
        <v>151</v>
      </c>
    </row>
    <row r="11">
      <c r="A11" s="58">
        <v>8.0</v>
      </c>
      <c r="B11" s="67" t="s">
        <v>175</v>
      </c>
      <c r="C11" s="70"/>
      <c r="D11" s="53">
        <f>sum(D30:D36)</f>
        <v>26</v>
      </c>
      <c r="E11" s="53">
        <f t="shared" si="1"/>
        <v>109</v>
      </c>
      <c r="F11" s="53">
        <f>sum(F30:F36)</f>
        <v>34</v>
      </c>
      <c r="G11" s="53">
        <f t="shared" si="2"/>
        <v>107</v>
      </c>
    </row>
    <row r="12">
      <c r="A12" s="46">
        <v>9.0</v>
      </c>
      <c r="B12" s="35" t="s">
        <v>174</v>
      </c>
      <c r="C12" s="31"/>
      <c r="D12" s="59">
        <f>sum(D36:D47)</f>
        <v>41</v>
      </c>
      <c r="E12" s="59">
        <f t="shared" si="1"/>
        <v>83</v>
      </c>
      <c r="F12" s="59">
        <f>sum(F37:F47)</f>
        <v>32</v>
      </c>
      <c r="G12" s="59">
        <f t="shared" si="2"/>
        <v>73</v>
      </c>
    </row>
    <row r="13">
      <c r="A13" s="58">
        <v>10.0</v>
      </c>
      <c r="B13" s="67" t="s">
        <v>153</v>
      </c>
      <c r="C13" s="29"/>
      <c r="D13" s="53">
        <f>sum(D47:D55)</f>
        <v>42</v>
      </c>
      <c r="E13" s="53">
        <f t="shared" si="1"/>
        <v>42</v>
      </c>
      <c r="F13" s="53">
        <f>sum(F47:F55)</f>
        <v>0</v>
      </c>
      <c r="G13" s="53">
        <f t="shared" si="2"/>
        <v>41</v>
      </c>
    </row>
    <row r="14">
      <c r="A14" s="60">
        <v>11.0</v>
      </c>
      <c r="B14" s="35" t="s">
        <v>155</v>
      </c>
      <c r="C14" s="31"/>
      <c r="D14" s="31"/>
      <c r="E14" s="31"/>
      <c r="F14" s="31"/>
      <c r="G14" s="31"/>
    </row>
    <row r="15">
      <c r="A15" s="62"/>
      <c r="B15" s="35"/>
      <c r="C15" s="31"/>
      <c r="D15" s="59"/>
      <c r="E15" s="59"/>
      <c r="F15" s="59"/>
      <c r="G15" s="31"/>
    </row>
    <row r="16">
      <c r="A16" s="60"/>
      <c r="B16" s="35"/>
      <c r="C16" s="31"/>
      <c r="D16" s="31"/>
      <c r="E16" s="31"/>
      <c r="F16" s="31"/>
      <c r="G16" s="31"/>
    </row>
    <row r="17">
      <c r="A17" s="60"/>
      <c r="B17" s="35"/>
      <c r="C17" s="31"/>
      <c r="D17" s="25"/>
      <c r="E17" s="31"/>
      <c r="F17" s="31"/>
      <c r="G17" s="31"/>
    </row>
    <row r="18">
      <c r="A18" s="46"/>
      <c r="B18" s="47"/>
      <c r="C18" s="31"/>
      <c r="D18" s="31"/>
      <c r="E18" s="57"/>
      <c r="F18" s="31"/>
      <c r="G18" s="57"/>
    </row>
    <row r="19">
      <c r="A19" s="46"/>
      <c r="B19" s="47"/>
      <c r="C19" s="31"/>
      <c r="D19" s="31"/>
      <c r="E19" s="57" t="s">
        <v>169</v>
      </c>
      <c r="F19" s="31"/>
      <c r="G19" s="57" t="s">
        <v>170</v>
      </c>
    </row>
    <row r="20">
      <c r="A20" s="69">
        <v>7.0</v>
      </c>
      <c r="B20" s="67" t="s">
        <v>151</v>
      </c>
      <c r="C20" s="76" t="s">
        <v>224</v>
      </c>
      <c r="D20" s="76">
        <v>8.0</v>
      </c>
      <c r="E20" s="72"/>
      <c r="F20" s="76">
        <v>8.0</v>
      </c>
      <c r="G20" s="72"/>
    </row>
    <row r="21">
      <c r="A21" s="62"/>
      <c r="B21" s="68"/>
      <c r="C21" s="35" t="s">
        <v>225</v>
      </c>
      <c r="D21" s="74">
        <v>5.0</v>
      </c>
      <c r="E21" s="68"/>
      <c r="F21" s="74">
        <v>5.0</v>
      </c>
      <c r="G21" s="35"/>
    </row>
    <row r="22">
      <c r="A22" s="68"/>
      <c r="B22" s="68"/>
      <c r="C22" s="74" t="s">
        <v>226</v>
      </c>
      <c r="D22" s="74">
        <v>3.0</v>
      </c>
      <c r="E22" s="68"/>
      <c r="F22" s="74">
        <v>3.0</v>
      </c>
      <c r="G22" s="68"/>
    </row>
    <row r="23" ht="12.0" customHeight="1">
      <c r="A23" s="62"/>
      <c r="B23" s="68"/>
      <c r="C23" s="35" t="s">
        <v>227</v>
      </c>
      <c r="D23" s="74">
        <v>5.0</v>
      </c>
      <c r="E23" s="68"/>
      <c r="F23" s="74">
        <v>8.0</v>
      </c>
      <c r="G23" s="35"/>
    </row>
    <row r="24">
      <c r="A24" s="68"/>
      <c r="B24" s="68"/>
      <c r="C24" s="74" t="s">
        <v>228</v>
      </c>
      <c r="D24" s="74">
        <v>2.0</v>
      </c>
      <c r="E24" s="68"/>
      <c r="F24" s="74">
        <v>2.0</v>
      </c>
      <c r="G24" s="68"/>
    </row>
    <row r="25">
      <c r="A25" s="62"/>
      <c r="B25" s="68"/>
      <c r="C25" s="35" t="s">
        <v>229</v>
      </c>
      <c r="D25" s="74">
        <v>5.0</v>
      </c>
      <c r="E25" s="68"/>
      <c r="F25" s="74">
        <v>5.0</v>
      </c>
      <c r="G25" s="35"/>
    </row>
    <row r="26">
      <c r="A26" s="68"/>
      <c r="B26" s="68"/>
      <c r="C26" s="74" t="s">
        <v>230</v>
      </c>
      <c r="D26" s="74">
        <v>8.0</v>
      </c>
      <c r="E26" s="68"/>
      <c r="F26" s="74">
        <v>8.0</v>
      </c>
      <c r="G26" s="68"/>
    </row>
    <row r="27">
      <c r="A27" s="62"/>
      <c r="B27" s="68"/>
      <c r="C27" s="35" t="s">
        <v>231</v>
      </c>
      <c r="D27" s="74">
        <v>3.0</v>
      </c>
      <c r="E27" s="68"/>
      <c r="F27" s="74">
        <v>2.0</v>
      </c>
      <c r="G27" s="35"/>
    </row>
    <row r="28">
      <c r="A28" s="62"/>
      <c r="B28" s="68"/>
      <c r="C28" s="35" t="s">
        <v>232</v>
      </c>
      <c r="D28" s="74">
        <v>3.0</v>
      </c>
      <c r="E28" s="68"/>
      <c r="F28" s="74">
        <v>3.0</v>
      </c>
      <c r="G28" s="35"/>
    </row>
    <row r="29">
      <c r="A29" s="60"/>
      <c r="B29" s="35"/>
      <c r="C29" s="35"/>
      <c r="D29" s="74"/>
      <c r="E29" s="68"/>
      <c r="F29" s="74"/>
      <c r="G29" s="35"/>
    </row>
    <row r="30" ht="54.0" customHeight="1">
      <c r="A30" s="61">
        <v>8.0</v>
      </c>
      <c r="B30" s="67" t="s">
        <v>175</v>
      </c>
      <c r="C30" s="67" t="s">
        <v>217</v>
      </c>
      <c r="D30" s="76">
        <v>3.0</v>
      </c>
      <c r="E30" s="72"/>
      <c r="F30" s="76">
        <v>3.0</v>
      </c>
      <c r="G30" s="67"/>
    </row>
    <row r="31">
      <c r="A31" s="62"/>
      <c r="B31" s="68"/>
      <c r="C31" s="35" t="s">
        <v>221</v>
      </c>
      <c r="D31" s="74">
        <v>3.0</v>
      </c>
      <c r="E31" s="68"/>
      <c r="F31" s="74">
        <v>3.0</v>
      </c>
      <c r="G31" s="35"/>
    </row>
    <row r="32">
      <c r="A32" s="68"/>
      <c r="B32" s="68"/>
      <c r="C32" s="74" t="s">
        <v>233</v>
      </c>
      <c r="D32" s="74">
        <v>5.0</v>
      </c>
      <c r="E32" s="68"/>
      <c r="F32" s="74">
        <v>13.0</v>
      </c>
      <c r="G32" s="68"/>
    </row>
    <row r="33">
      <c r="A33" s="68"/>
      <c r="B33" s="68"/>
      <c r="C33" s="74" t="s">
        <v>234</v>
      </c>
      <c r="D33" s="74">
        <v>2.0</v>
      </c>
      <c r="E33" s="68"/>
      <c r="F33" s="74">
        <v>2.0</v>
      </c>
      <c r="G33" s="68"/>
    </row>
    <row r="34">
      <c r="A34" s="68"/>
      <c r="B34" s="68"/>
      <c r="C34" s="74" t="s">
        <v>235</v>
      </c>
      <c r="D34" s="74">
        <v>8.0</v>
      </c>
      <c r="E34" s="68"/>
      <c r="F34" s="74">
        <v>8.0</v>
      </c>
      <c r="G34" s="68"/>
    </row>
    <row r="35">
      <c r="A35" s="68"/>
      <c r="B35" s="68"/>
      <c r="C35" s="74" t="s">
        <v>236</v>
      </c>
      <c r="D35" s="74">
        <v>5.0</v>
      </c>
      <c r="E35" s="68"/>
      <c r="F35" s="74">
        <v>5.0</v>
      </c>
      <c r="G35" s="68"/>
    </row>
    <row r="36">
      <c r="A36" s="68"/>
      <c r="B36" s="68"/>
      <c r="C36" s="74"/>
      <c r="D36" s="74"/>
      <c r="E36" s="68"/>
      <c r="F36" s="74"/>
      <c r="G36" s="68"/>
    </row>
    <row r="37">
      <c r="A37" s="61">
        <v>9.0</v>
      </c>
      <c r="B37" s="67" t="s">
        <v>153</v>
      </c>
      <c r="C37" s="70"/>
      <c r="D37" s="76"/>
      <c r="E37" s="72"/>
      <c r="F37" s="76"/>
      <c r="G37" s="67"/>
    </row>
    <row r="38">
      <c r="A38" s="68"/>
      <c r="B38" s="68"/>
      <c r="C38" s="35" t="s">
        <v>219</v>
      </c>
      <c r="D38" s="74">
        <v>3.0</v>
      </c>
      <c r="E38" s="68"/>
      <c r="F38" s="74">
        <v>3.0</v>
      </c>
      <c r="G38" s="68"/>
    </row>
    <row r="39">
      <c r="A39" s="68"/>
      <c r="B39" s="68"/>
      <c r="C39" s="74" t="s">
        <v>237</v>
      </c>
      <c r="D39" s="74">
        <v>8.0</v>
      </c>
      <c r="E39" s="68"/>
      <c r="F39" s="74">
        <v>8.0</v>
      </c>
      <c r="G39" s="68"/>
    </row>
    <row r="40">
      <c r="A40" s="68"/>
      <c r="B40" s="68"/>
      <c r="C40" s="74" t="s">
        <v>238</v>
      </c>
      <c r="D40" s="74">
        <v>2.0</v>
      </c>
      <c r="E40" s="68"/>
      <c r="F40" s="74">
        <v>2.0</v>
      </c>
      <c r="G40" s="68"/>
    </row>
    <row r="41">
      <c r="A41" s="68"/>
      <c r="B41" s="68"/>
      <c r="C41" s="74" t="s">
        <v>239</v>
      </c>
      <c r="D41" s="74">
        <v>2.0</v>
      </c>
      <c r="E41" s="68"/>
      <c r="F41" s="74">
        <v>2.0</v>
      </c>
      <c r="G41" s="68"/>
    </row>
    <row r="42">
      <c r="A42" s="68"/>
      <c r="B42" s="68"/>
      <c r="C42" s="74" t="s">
        <v>240</v>
      </c>
      <c r="D42" s="74">
        <v>5.0</v>
      </c>
      <c r="E42" s="68"/>
      <c r="F42" s="74">
        <v>5.0</v>
      </c>
      <c r="G42" s="68"/>
    </row>
    <row r="43">
      <c r="A43" s="68"/>
      <c r="B43" s="68"/>
      <c r="C43" s="74" t="s">
        <v>241</v>
      </c>
      <c r="D43" s="74">
        <v>3.0</v>
      </c>
      <c r="E43" s="68"/>
      <c r="F43" s="74">
        <v>2.0</v>
      </c>
      <c r="G43" s="68"/>
    </row>
    <row r="44">
      <c r="A44" s="68"/>
      <c r="B44" s="68"/>
      <c r="C44" s="74" t="s">
        <v>242</v>
      </c>
      <c r="D44" s="74">
        <v>5.0</v>
      </c>
      <c r="E44" s="68"/>
      <c r="F44" s="74">
        <v>5.0</v>
      </c>
      <c r="G44" s="68"/>
    </row>
    <row r="45">
      <c r="A45" s="68"/>
      <c r="B45" s="68"/>
      <c r="C45" s="74" t="s">
        <v>243</v>
      </c>
      <c r="D45" s="74">
        <v>5.0</v>
      </c>
      <c r="E45" s="68"/>
      <c r="F45" s="74">
        <v>5.0</v>
      </c>
      <c r="G45" s="68"/>
    </row>
    <row r="46">
      <c r="A46" s="60"/>
      <c r="B46" s="34"/>
      <c r="C46" s="34"/>
      <c r="D46" s="74"/>
      <c r="E46" s="68"/>
      <c r="F46" s="74"/>
      <c r="G46" s="35"/>
    </row>
    <row r="47">
      <c r="A47" s="61">
        <v>10.0</v>
      </c>
      <c r="B47" s="67" t="s">
        <v>153</v>
      </c>
      <c r="C47" s="67" t="s">
        <v>244</v>
      </c>
      <c r="D47" s="76">
        <v>8.0</v>
      </c>
      <c r="E47" s="72"/>
      <c r="F47" s="76"/>
      <c r="G47" s="67"/>
    </row>
    <row r="48" ht="18.0" customHeight="1">
      <c r="A48" s="68"/>
      <c r="B48" s="68"/>
      <c r="C48" s="74" t="s">
        <v>245</v>
      </c>
      <c r="D48" s="74">
        <v>5.0</v>
      </c>
      <c r="E48" s="68"/>
      <c r="F48" s="74"/>
      <c r="G48" s="68"/>
    </row>
    <row r="49">
      <c r="A49" s="68"/>
      <c r="B49" s="68"/>
      <c r="C49" s="74" t="s">
        <v>220</v>
      </c>
      <c r="D49" s="74">
        <v>3.0</v>
      </c>
      <c r="E49" s="68"/>
      <c r="F49" s="74"/>
      <c r="G49" s="68"/>
    </row>
    <row r="50">
      <c r="A50" s="68"/>
      <c r="B50" s="68"/>
      <c r="C50" s="35" t="s">
        <v>246</v>
      </c>
      <c r="D50" s="74">
        <v>5.0</v>
      </c>
      <c r="E50" s="68"/>
      <c r="F50" s="74"/>
      <c r="G50" s="68"/>
    </row>
    <row r="51">
      <c r="A51" s="68"/>
      <c r="B51" s="68"/>
      <c r="C51" s="74" t="s">
        <v>218</v>
      </c>
      <c r="D51" s="74">
        <v>5.0</v>
      </c>
      <c r="E51" s="68"/>
      <c r="F51" s="74"/>
      <c r="G51" s="68"/>
    </row>
    <row r="52">
      <c r="A52" s="68"/>
      <c r="B52" s="68"/>
      <c r="C52" s="74" t="s">
        <v>247</v>
      </c>
      <c r="D52" s="74">
        <v>3.0</v>
      </c>
      <c r="E52" s="68"/>
      <c r="F52" s="74"/>
      <c r="G52" s="68"/>
    </row>
    <row r="53">
      <c r="A53" s="68"/>
      <c r="B53" s="68"/>
      <c r="C53" s="74" t="s">
        <v>248</v>
      </c>
      <c r="D53" s="74">
        <v>5.0</v>
      </c>
      <c r="E53" s="68"/>
      <c r="F53" s="74"/>
      <c r="G53" s="68"/>
    </row>
    <row r="54">
      <c r="A54" s="68"/>
      <c r="B54" s="68"/>
      <c r="C54" s="74" t="s">
        <v>249</v>
      </c>
      <c r="D54" s="74">
        <v>5.0</v>
      </c>
      <c r="E54" s="68"/>
      <c r="F54" s="74"/>
      <c r="G54" s="68"/>
    </row>
    <row r="55">
      <c r="A55" s="68"/>
      <c r="B55" s="68"/>
      <c r="C55" s="74" t="s">
        <v>250</v>
      </c>
      <c r="D55" s="74">
        <v>3.0</v>
      </c>
      <c r="E55" s="68"/>
      <c r="F55" s="74"/>
      <c r="G55" s="68"/>
    </row>
    <row r="56">
      <c r="A56" s="83">
        <v>11.0</v>
      </c>
      <c r="B56" s="67" t="s">
        <v>155</v>
      </c>
      <c r="C56" s="76"/>
      <c r="D56" s="76"/>
      <c r="E56" s="72"/>
      <c r="F56" s="76"/>
      <c r="G56" s="72"/>
    </row>
    <row r="57">
      <c r="A57" s="68"/>
      <c r="B57" s="68"/>
      <c r="C57" s="74"/>
      <c r="D57" s="74"/>
      <c r="E57" s="68"/>
      <c r="F57" s="74"/>
      <c r="G57" s="68"/>
    </row>
  </sheetData>
  <hyperlinks>
    <hyperlink r:id="rId1" ref="A1"/>
  </hyperlinks>
  <printOptions gridLines="1" horizontalCentered="1"/>
  <pageMargins bottom="0.75" footer="0.0" header="0.0" left="0.7" right="0.7" top="0.75"/>
  <pageSetup fitToHeight="0" cellComments="atEnd" orientation="landscape" pageOrder="overThenDown"/>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4" t="s">
        <v>59</v>
      </c>
      <c r="B1" s="43" t="s">
        <v>251</v>
      </c>
      <c r="C1" s="43" t="s">
        <v>252</v>
      </c>
      <c r="D1" s="85" t="s">
        <v>253</v>
      </c>
    </row>
    <row r="2">
      <c r="A2" s="3"/>
      <c r="B2" s="3"/>
      <c r="C2" s="3"/>
      <c r="D2" s="3"/>
    </row>
    <row r="3">
      <c r="A3" s="3"/>
      <c r="B3" s="27" t="s">
        <v>254</v>
      </c>
      <c r="C3" s="27" t="s">
        <v>255</v>
      </c>
      <c r="D3" s="27" t="s">
        <v>256</v>
      </c>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257</v>
      </c>
      <c r="B1" s="4" t="s">
        <v>258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259</v>
      </c>
      <c r="C1" s="4" t="s">
        <v>260</v>
      </c>
      <c r="D1" s="4" t="s">
        <v>261</v>
      </c>
      <c r="E1" s="4" t="s">
        <v>262</v>
      </c>
      <c r="F1" s="4" t="s">
        <v>66</v>
      </c>
    </row>
    <row r="2">
      <c r="A2" s="3"/>
      <c r="B2" s="86" t="s">
        <v>263</v>
      </c>
      <c r="C2" s="86" t="s">
        <v>264</v>
      </c>
      <c r="D2" s="86">
        <v>3.11</v>
      </c>
      <c r="E2" s="87" t="s">
        <v>265</v>
      </c>
      <c r="F2" s="88"/>
    </row>
    <row r="3">
      <c r="A3" s="3"/>
      <c r="B3" s="86" t="s">
        <v>266</v>
      </c>
      <c r="C3" s="86" t="s">
        <v>267</v>
      </c>
      <c r="D3" s="86" t="s">
        <v>268</v>
      </c>
      <c r="E3" s="87" t="s">
        <v>269</v>
      </c>
      <c r="F3" s="89"/>
    </row>
    <row r="4">
      <c r="A4" s="3"/>
      <c r="B4" s="86" t="s">
        <v>270</v>
      </c>
      <c r="C4" s="86" t="s">
        <v>271</v>
      </c>
      <c r="D4" s="87">
        <v>9.7</v>
      </c>
      <c r="E4" s="87" t="s">
        <v>272</v>
      </c>
      <c r="F4" s="89"/>
    </row>
    <row r="5">
      <c r="A5" s="3"/>
      <c r="B5" s="86" t="s">
        <v>273</v>
      </c>
      <c r="C5" s="86" t="s">
        <v>274</v>
      </c>
      <c r="D5" s="86" t="s">
        <v>69</v>
      </c>
      <c r="E5" s="87" t="s">
        <v>275</v>
      </c>
      <c r="F5" s="89"/>
    </row>
    <row r="6">
      <c r="A6" s="3"/>
      <c r="B6" s="87" t="s">
        <v>276</v>
      </c>
      <c r="C6" s="86" t="s">
        <v>277</v>
      </c>
      <c r="D6" s="86" t="s">
        <v>278</v>
      </c>
      <c r="E6" s="87" t="s">
        <v>272</v>
      </c>
      <c r="F6" s="89"/>
    </row>
    <row r="7">
      <c r="A7" s="3"/>
      <c r="B7" s="86" t="s">
        <v>279</v>
      </c>
      <c r="C7" s="86" t="s">
        <v>280</v>
      </c>
      <c r="D7" s="86">
        <v>19.01</v>
      </c>
      <c r="E7" s="87" t="s">
        <v>269</v>
      </c>
      <c r="F7" s="89"/>
    </row>
    <row r="8">
      <c r="A8" s="3"/>
      <c r="B8" s="86" t="s">
        <v>281</v>
      </c>
      <c r="C8" s="86" t="s">
        <v>282</v>
      </c>
      <c r="D8" s="86" t="s">
        <v>283</v>
      </c>
      <c r="E8" s="86" t="s">
        <v>269</v>
      </c>
      <c r="F8" s="89"/>
    </row>
    <row r="9">
      <c r="A9" s="3"/>
      <c r="B9" s="86" t="s">
        <v>284</v>
      </c>
      <c r="C9" s="86" t="s">
        <v>285</v>
      </c>
      <c r="D9" s="86">
        <v>4.0</v>
      </c>
      <c r="E9" s="86" t="s">
        <v>269</v>
      </c>
      <c r="F9" s="89"/>
    </row>
    <row r="10">
      <c r="A10" s="3"/>
      <c r="B10" s="89"/>
      <c r="C10" s="89"/>
      <c r="D10" s="89"/>
      <c r="E10" s="89"/>
      <c r="F10" s="89"/>
    </row>
    <row r="11">
      <c r="A11" s="3"/>
      <c r="B11" s="89"/>
      <c r="C11" s="89"/>
      <c r="D11" s="89"/>
      <c r="E11" s="89"/>
      <c r="F11" s="89"/>
    </row>
    <row r="12">
      <c r="A12" s="3"/>
      <c r="B12" s="89"/>
      <c r="C12" s="89"/>
      <c r="D12" s="89"/>
      <c r="E12" s="89"/>
      <c r="F12" s="89"/>
    </row>
    <row r="13">
      <c r="A13" s="3"/>
      <c r="B13" s="89"/>
      <c r="C13" s="89"/>
      <c r="D13" s="89"/>
      <c r="E13" s="89"/>
      <c r="F13" s="89"/>
    </row>
    <row r="14">
      <c r="A14" s="3"/>
      <c r="B14" s="89"/>
      <c r="C14" s="89"/>
      <c r="D14" s="89"/>
      <c r="E14" s="89"/>
      <c r="F14" s="89"/>
    </row>
    <row r="15">
      <c r="A15" s="3"/>
      <c r="B15" s="89"/>
      <c r="C15" s="89"/>
      <c r="D15" s="89"/>
      <c r="E15" s="89"/>
      <c r="F15" s="89"/>
    </row>
    <row r="16">
      <c r="A16" s="3"/>
      <c r="B16" s="89"/>
      <c r="C16" s="89"/>
      <c r="D16" s="89"/>
      <c r="E16" s="89"/>
      <c r="F16" s="89"/>
    </row>
    <row r="17">
      <c r="A17" s="3"/>
      <c r="B17" s="89"/>
      <c r="C17" s="89"/>
      <c r="D17" s="89"/>
      <c r="E17" s="89"/>
      <c r="F17" s="89"/>
    </row>
    <row r="18">
      <c r="A18" s="3"/>
      <c r="B18" s="89"/>
      <c r="C18" s="89"/>
      <c r="D18" s="89"/>
      <c r="E18" s="89"/>
      <c r="F18" s="89"/>
    </row>
    <row r="19">
      <c r="A19" s="3"/>
      <c r="B19" s="89"/>
      <c r="C19" s="89"/>
      <c r="D19" s="89"/>
      <c r="E19" s="89"/>
      <c r="F19" s="89"/>
    </row>
    <row r="20">
      <c r="A20" s="3"/>
      <c r="B20" s="89"/>
      <c r="C20" s="89"/>
      <c r="D20" s="89"/>
      <c r="E20" s="89"/>
      <c r="F20" s="89"/>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0" t="str">
        <f>'Project Team'!A1</f>
        <v>Last Name</v>
      </c>
      <c r="B1" s="90" t="str">
        <f>'Project Team'!B1</f>
        <v>First Name</v>
      </c>
      <c r="C1" s="91" t="s">
        <v>286</v>
      </c>
      <c r="D1" s="92"/>
      <c r="E1" s="93"/>
      <c r="F1" s="94"/>
      <c r="G1" s="95"/>
      <c r="H1" s="95"/>
    </row>
    <row r="2">
      <c r="A2" s="96" t="str">
        <f>'Project Team'!A1</f>
        <v>Last Name</v>
      </c>
      <c r="B2" s="96" t="str">
        <f>#REF!</f>
        <v>#REF!</v>
      </c>
      <c r="C2" s="97"/>
      <c r="D2" s="98"/>
      <c r="E2" s="99" t="str">
        <f>average(C2:C10)</f>
        <v>#DIV/0!</v>
      </c>
      <c r="F2" s="100" t="str">
        <f>if(stdev(C2:C7) &gt; 0,"NOK", "OK")</f>
        <v>#DIV/0!</v>
      </c>
      <c r="G2" s="101"/>
      <c r="H2" s="101"/>
    </row>
    <row r="3">
      <c r="A3" s="102" t="str">
        <f t="shared" ref="A3:B3" si="1">#REF!</f>
        <v>#REF!</v>
      </c>
      <c r="B3" s="102" t="str">
        <f t="shared" si="1"/>
        <v>#REF!</v>
      </c>
      <c r="C3" s="97"/>
      <c r="D3" s="103"/>
      <c r="G3" s="104"/>
      <c r="H3" s="104"/>
    </row>
    <row r="4">
      <c r="A4" s="96" t="str">
        <f>'Project Team'!A3</f>
        <v>Justus</v>
      </c>
      <c r="B4" s="96" t="str">
        <f>'Project Team'!B3</f>
        <v>Kleinau</v>
      </c>
      <c r="C4" s="97"/>
      <c r="D4" s="98"/>
      <c r="G4" s="101"/>
      <c r="H4" s="101"/>
    </row>
    <row r="5">
      <c r="A5" s="102" t="str">
        <f t="shared" ref="A5:B5" si="2">#REF!</f>
        <v>#REF!</v>
      </c>
      <c r="B5" s="102" t="str">
        <f t="shared" si="2"/>
        <v>#REF!</v>
      </c>
      <c r="C5" s="97"/>
      <c r="D5" s="105"/>
      <c r="E5" s="105"/>
      <c r="F5" s="105"/>
      <c r="G5" s="104"/>
      <c r="H5" s="104"/>
    </row>
    <row r="6">
      <c r="A6" s="96" t="str">
        <f>'Project Team'!A4</f>
        <v>Harms</v>
      </c>
      <c r="B6" s="96" t="str">
        <f>'Project Team'!B4</f>
        <v>Finn</v>
      </c>
      <c r="C6" s="97"/>
      <c r="D6" s="106"/>
      <c r="E6" s="107">
        <v>0.0</v>
      </c>
      <c r="F6" s="108" t="s">
        <v>287</v>
      </c>
      <c r="G6" s="101"/>
      <c r="H6" s="101"/>
    </row>
    <row r="7">
      <c r="A7" s="102" t="str">
        <f>'Project Team'!A5</f>
        <v>Karkani</v>
      </c>
      <c r="B7" s="102" t="str">
        <f>'Project Team'!B5</f>
        <v>Despoina</v>
      </c>
      <c r="C7" s="109"/>
      <c r="D7" s="105"/>
      <c r="E7" s="107">
        <v>1.0</v>
      </c>
      <c r="F7" s="108" t="s">
        <v>288</v>
      </c>
      <c r="G7" s="104"/>
      <c r="H7" s="104"/>
    </row>
    <row r="8">
      <c r="A8" s="96" t="str">
        <f>'Project Team'!A6</f>
        <v>Karmokar</v>
      </c>
      <c r="B8" s="96" t="str">
        <f>'Project Team'!B6</f>
        <v>Subroto</v>
      </c>
      <c r="C8" s="97"/>
      <c r="D8" s="106"/>
      <c r="E8" s="107">
        <v>2.0</v>
      </c>
      <c r="F8" s="108" t="s">
        <v>289</v>
      </c>
      <c r="G8" s="101"/>
      <c r="H8" s="101"/>
    </row>
    <row r="9">
      <c r="A9" s="102" t="str">
        <f>'Project Team'!A8</f>
        <v>Uddin</v>
      </c>
      <c r="B9" s="102" t="str">
        <f>'Project Team'!B8</f>
        <v>Md Fahim</v>
      </c>
      <c r="C9" s="97"/>
      <c r="D9" s="105"/>
      <c r="E9" s="107">
        <v>3.0</v>
      </c>
      <c r="F9" s="108" t="s">
        <v>290</v>
      </c>
      <c r="G9" s="104"/>
      <c r="H9" s="104"/>
    </row>
    <row r="10">
      <c r="A10" s="96" t="str">
        <f>'Project Team'!A9</f>
        <v>Khanam</v>
      </c>
      <c r="B10" s="96" t="str">
        <f>'Project Team'!B9</f>
        <v>Faria Rahman</v>
      </c>
      <c r="C10" s="97"/>
      <c r="D10" s="106"/>
      <c r="E10" s="107">
        <v>5.0</v>
      </c>
      <c r="F10" s="108" t="s">
        <v>291</v>
      </c>
      <c r="G10" s="101"/>
      <c r="H10" s="101"/>
    </row>
    <row r="11">
      <c r="A11" s="110" t="s">
        <v>54</v>
      </c>
      <c r="B11" s="110" t="s">
        <v>55</v>
      </c>
      <c r="C11" s="97"/>
      <c r="D11" s="105"/>
      <c r="E11" s="107">
        <v>8.0</v>
      </c>
      <c r="F11" s="108" t="s">
        <v>292</v>
      </c>
      <c r="G11" s="104"/>
      <c r="H11" s="104"/>
    </row>
    <row r="12">
      <c r="A12" s="96"/>
      <c r="B12" s="96"/>
      <c r="C12" s="109"/>
      <c r="D12" s="106"/>
      <c r="E12" s="107">
        <v>13.0</v>
      </c>
      <c r="F12" s="108" t="s">
        <v>293</v>
      </c>
      <c r="G12" s="101"/>
      <c r="H12" s="101"/>
    </row>
    <row r="13">
      <c r="A13" s="102"/>
      <c r="B13" s="102"/>
      <c r="C13" s="105"/>
      <c r="D13" s="105"/>
      <c r="E13" s="105"/>
      <c r="F13" s="105"/>
      <c r="G13" s="104"/>
      <c r="H13" s="104"/>
    </row>
    <row r="14">
      <c r="A14" s="111" t="s">
        <v>294</v>
      </c>
      <c r="B14" s="112"/>
      <c r="C14" s="112"/>
      <c r="D14" s="112"/>
      <c r="E14" s="112"/>
      <c r="F14" s="112"/>
      <c r="G14" s="112"/>
      <c r="H14" s="112"/>
    </row>
    <row r="15">
      <c r="A15" s="113"/>
      <c r="B15" s="113"/>
      <c r="C15" s="113"/>
      <c r="D15" s="113"/>
      <c r="E15" s="113"/>
      <c r="F15" s="113"/>
      <c r="G15" s="113"/>
      <c r="H15" s="113"/>
    </row>
    <row r="16">
      <c r="A16" s="114" t="s">
        <v>295</v>
      </c>
      <c r="B16" s="115"/>
      <c r="C16" s="115"/>
      <c r="D16" s="115"/>
      <c r="E16" s="115"/>
      <c r="F16" s="115"/>
      <c r="G16" s="115"/>
      <c r="H16" s="115"/>
    </row>
    <row r="17">
      <c r="A17" s="116" t="s">
        <v>296</v>
      </c>
      <c r="B17" s="113"/>
      <c r="C17" s="113"/>
      <c r="D17" s="113"/>
      <c r="E17" s="113"/>
      <c r="F17" s="113"/>
      <c r="G17" s="113"/>
      <c r="H17" s="113"/>
    </row>
    <row r="18">
      <c r="A18" s="114" t="s">
        <v>297</v>
      </c>
      <c r="B18" s="115"/>
      <c r="C18" s="115"/>
      <c r="D18" s="115"/>
      <c r="E18" s="115"/>
      <c r="F18" s="115"/>
      <c r="G18" s="115"/>
      <c r="H18" s="115"/>
    </row>
    <row r="19">
      <c r="A19" s="113"/>
      <c r="B19" s="113"/>
      <c r="C19" s="113"/>
      <c r="D19" s="113"/>
      <c r="E19" s="113"/>
      <c r="F19" s="113"/>
      <c r="G19" s="113"/>
      <c r="H19" s="113"/>
    </row>
    <row r="20">
      <c r="A20" s="115"/>
      <c r="B20" s="115"/>
      <c r="C20" s="115"/>
      <c r="D20" s="115"/>
      <c r="E20" s="115"/>
      <c r="F20" s="115"/>
      <c r="G20" s="115"/>
      <c r="H20" s="115"/>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