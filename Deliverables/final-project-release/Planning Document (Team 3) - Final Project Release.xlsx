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3"/>
    <sheet state="visible" name="Project Team" sheetId="2" r:id="rId4"/>
    <sheet state="visible" name="Role Assignments" sheetId="3" r:id="rId5"/>
    <sheet state="visible" name="Team Contract" sheetId="4" r:id="rId6"/>
    <sheet state="visible" name="Product Goal" sheetId="5" r:id="rId7"/>
    <sheet state="visible" name="Product Glossary" sheetId="6" r:id="rId8"/>
    <sheet state="visible" name="Sprint Goals" sheetId="7" r:id="rId9"/>
    <sheet state="visible" name="Velocity Tracking" sheetId="8" r:id="rId10"/>
    <sheet state="visible" name="Velocity Chart" sheetId="9" r:id="rId11"/>
    <sheet state="visible" name="Mid-Project Release plan" sheetId="10" r:id="rId12"/>
    <sheet state="visible" name="Final Project Release plan" sheetId="11" r:id="rId13"/>
    <sheet state="visible" name="Burndown Chart" sheetId="12" r:id="rId14"/>
    <sheet state="visible" name="Definition of Done" sheetId="13" r:id="rId15"/>
    <sheet state="visible" name="Documentation" sheetId="14" r:id="rId16"/>
    <sheet state="visible" name="Bill of Materials" sheetId="15" r:id="rId17"/>
    <sheet state="visible" name="Planning Poker" sheetId="16" r:id="rId18"/>
  </sheets>
  <definedNames/>
  <calcPr/>
</workbook>
</file>

<file path=xl/sharedStrings.xml><?xml version="1.0" encoding="utf-8"?>
<sst xmlns="http://schemas.openxmlformats.org/spreadsheetml/2006/main" count="475" uniqueCount="357">
  <si>
    <t>Project Name</t>
  </si>
  <si>
    <t>Route planning App</t>
  </si>
  <si>
    <t>Online team meeting</t>
  </si>
  <si>
    <t>https://tu-berlin.zoom-x.de/j/63201367987?pwd=pwLP7eO90NCqkHyHE0cssfqZA0PwDl.1</t>
  </si>
  <si>
    <t>Production system (if any)</t>
  </si>
  <si>
    <t>Test system (if any)</t>
  </si>
  <si>
    <t>...</t>
  </si>
  <si>
    <t>GitHub repository</t>
  </si>
  <si>
    <t>https://github.com/amosproj/amos2025ss03-route-planning-app</t>
  </si>
  <si>
    <t>GitHub feature board</t>
  </si>
  <si>
    <t>https://github.com/orgs/amosproj/projects/81</t>
  </si>
  <si>
    <t>GitHub imp-squared backlog</t>
  </si>
  <si>
    <t>https://github.com/orgs/amosproj/projects/85</t>
  </si>
  <si>
    <t>Team T-shirt (white)</t>
  </si>
  <si>
    <t>https://www.shirtinator.de/loadBasket/PNnhXl2COPF</t>
  </si>
  <si>
    <t>Team T-shirt (black)</t>
  </si>
  <si>
    <t>Additional materials</t>
  </si>
  <si>
    <t>Team maling list</t>
  </si>
  <si>
    <t>oss-amos-proj3@lists.fau.de</t>
  </si>
  <si>
    <t>Last Name</t>
  </si>
  <si>
    <t>First Name</t>
  </si>
  <si>
    <t>GitHub User Name</t>
  </si>
  <si>
    <t>Email Address</t>
  </si>
  <si>
    <t>Sandt</t>
  </si>
  <si>
    <t>Eloi</t>
  </si>
  <si>
    <t>eloinoel</t>
  </si>
  <si>
    <t>eloi.sandt@campus.tu-berlin.de</t>
  </si>
  <si>
    <t>Justus</t>
  </si>
  <si>
    <t>Kleinau</t>
  </si>
  <si>
    <t>jkleinau</t>
  </si>
  <si>
    <t>j.kleinau@campus.tu-berlin.de</t>
  </si>
  <si>
    <t>Harms</t>
  </si>
  <si>
    <t>Finn</t>
  </si>
  <si>
    <t>innif</t>
  </si>
  <si>
    <t>Karkani</t>
  </si>
  <si>
    <t>Despoina</t>
  </si>
  <si>
    <t xml:space="preserve">dkarkani </t>
  </si>
  <si>
    <t>despoina.karkani@campus.tu-berlin.de</t>
  </si>
  <si>
    <t>Karmokar</t>
  </si>
  <si>
    <t>Subroto</t>
  </si>
  <si>
    <t>SK-Subroto</t>
  </si>
  <si>
    <t>subroto.karmokar@fau.de</t>
  </si>
  <si>
    <t>Dutta</t>
  </si>
  <si>
    <t>Arkadeep</t>
  </si>
  <si>
    <t>arkadeepberlin</t>
  </si>
  <si>
    <t>arkadeep.dutta@campus.tu-berlin.de</t>
  </si>
  <si>
    <t>Uddin</t>
  </si>
  <si>
    <t>Md Fahim</t>
  </si>
  <si>
    <t>fahimu10</t>
  </si>
  <si>
    <t>fahim.uddin@fau.de</t>
  </si>
  <si>
    <t>Khanam</t>
  </si>
  <si>
    <t>Faria Rahman</t>
  </si>
  <si>
    <t>fariarahman15</t>
  </si>
  <si>
    <t>faria.khanam@fau.de</t>
  </si>
  <si>
    <t>Summerer</t>
  </si>
  <si>
    <t>Felix</t>
  </si>
  <si>
    <t>SUFelix</t>
  </si>
  <si>
    <t>felix.summerer@fau.de</t>
  </si>
  <si>
    <t>Product Owner</t>
  </si>
  <si>
    <t>#</t>
  </si>
  <si>
    <t>Meeting Day</t>
  </si>
  <si>
    <t>Review</t>
  </si>
  <si>
    <t>Planning</t>
  </si>
  <si>
    <t>Software Developer</t>
  </si>
  <si>
    <t>Release Manager</t>
  </si>
  <si>
    <t>Scrum Master</t>
  </si>
  <si>
    <t>Comment</t>
  </si>
  <si>
    <t xml:space="preserve">Despina </t>
  </si>
  <si>
    <t>Everyone else</t>
  </si>
  <si>
    <t>N/A</t>
  </si>
  <si>
    <t>Faria</t>
  </si>
  <si>
    <t>Fahim</t>
  </si>
  <si>
    <t xml:space="preserve">Eloi </t>
  </si>
  <si>
    <t>Mid-term due</t>
  </si>
  <si>
    <t>Demo day! Project Retrospective</t>
  </si>
  <si>
    <t>no class</t>
  </si>
  <si>
    <t>Product owners, software developers, and Scurm Master are set and ideally don't change over time; the critical part is the Release Manager role you need to define here</t>
  </si>
  <si>
    <t>Goals</t>
  </si>
  <si>
    <t>Have an enjoyable experience in working together</t>
  </si>
  <si>
    <t>learn from each other</t>
  </si>
  <si>
    <t>Our teams tries to create tangible progress with the application every week</t>
  </si>
  <si>
    <t>Complete ECTS and get good grade</t>
  </si>
  <si>
    <t>Provide a usefull solution to meisterwerk</t>
  </si>
  <si>
    <t>Meeting norms</t>
  </si>
  <si>
    <t xml:space="preserve">All team-meetings are mandatory unless a valid reason is communicated in advance
</t>
  </si>
  <si>
    <t>be on time to value each other's time</t>
  </si>
  <si>
    <t>Ask questions if your are not clear on something.</t>
  </si>
  <si>
    <t>The meeting starts on time, even if not all members are present yet</t>
  </si>
  <si>
    <t>Camera On :)</t>
  </si>
  <si>
    <t>Working norms</t>
  </si>
  <si>
    <t>Team members should be open to feedback and view it as a growth opportunity</t>
  </si>
  <si>
    <t>We use feature, development and fix-branches in git</t>
  </si>
  <si>
    <t>When we face problems or fail to reach our goals, we should communicate that as soon as possible</t>
  </si>
  <si>
    <t>Always help each other!</t>
  </si>
  <si>
    <t>agree on who does what and keep track of it</t>
  </si>
  <si>
    <t>Follow coding conventions</t>
  </si>
  <si>
    <t xml:space="preserve">Openly communicate working capacity, so work can be attributed accordingly </t>
  </si>
  <si>
    <t>Keep each other updated about progress</t>
  </si>
  <si>
    <t>Coordination norms</t>
  </si>
  <si>
    <t xml:space="preserve">The Product owners for Review and Planning respectively  switch every week </t>
  </si>
  <si>
    <t>The PO's (at least, devs are always welcome to join) meet with the industry partner at regular intervals and communicate feature requests to the rest of the team</t>
  </si>
  <si>
    <t>When facing decisions that cant be resolved in a discussion, we put it to vote</t>
  </si>
  <si>
    <t>keep essential information and links to tools centralised in one place (seperate discord channel)</t>
  </si>
  <si>
    <t>Communication norms</t>
  </si>
  <si>
    <t>Use the communication tools that we have. In our case a Discord Server</t>
  </si>
  <si>
    <t>We should answer within one day</t>
  </si>
  <si>
    <t>There are no stupid questions!</t>
  </si>
  <si>
    <t>Communicate respectfully and let everybody speak out</t>
  </si>
  <si>
    <t>Respect each others opinions, we are all here to learn :)</t>
  </si>
  <si>
    <t>constructive criticism, talk about solutions</t>
  </si>
  <si>
    <t>communicate illnesses and expected work downtime and what it means for others</t>
  </si>
  <si>
    <t xml:space="preserve">Smaller problems with persons in thew group should be voiced in meetings, larger concerns should be discussed in a one-on-one call first </t>
  </si>
  <si>
    <t>Consideration norms</t>
  </si>
  <si>
    <t xml:space="preserve">Each task will have a primary owner(s) and a reviewer to ensure accountability and quality.
</t>
  </si>
  <si>
    <t>Talk about the problem, talk with the roles, get the context. Communication is very important to understand everything</t>
  </si>
  <si>
    <t>prefer to speak in public over speaking privately?</t>
  </si>
  <si>
    <t>Cont. improvement norms</t>
  </si>
  <si>
    <t>Keep 15 minutes atleast for Sprint retrospective</t>
  </si>
  <si>
    <t>Give constructive feedback on Pull Requests</t>
  </si>
  <si>
    <t>Rewards</t>
  </si>
  <si>
    <t>One evening/afternoon/whatever of fun online games</t>
  </si>
  <si>
    <t>Sanctions</t>
  </si>
  <si>
    <t>10 minutes of mandatory guided meditation… with a goat yoga video soundtrack</t>
  </si>
  <si>
    <t>A silly video-filter has to be activated for the next meeting</t>
  </si>
  <si>
    <t>Signatures</t>
  </si>
  <si>
    <t>Eloi Sandt</t>
  </si>
  <si>
    <t>Product owner</t>
  </si>
  <si>
    <t>Arkadeep Dutta</t>
  </si>
  <si>
    <t>Despina Karkani</t>
  </si>
  <si>
    <t>Software developer</t>
  </si>
  <si>
    <t>Subroto Karmokar</t>
  </si>
  <si>
    <t>Faria Rahman Khanam</t>
  </si>
  <si>
    <t>Md Fahim Uddin</t>
  </si>
  <si>
    <t>Finn Harms</t>
  </si>
  <si>
    <t>Justus Kleinau</t>
  </si>
  <si>
    <t>Felix Summerer</t>
  </si>
  <si>
    <t>Product Vision</t>
  </si>
  <si>
    <t>Project Mission</t>
  </si>
  <si>
    <t>To build an intelligent, automated route optimization tool that empowers organizations to efficiently assign appointments to field workers—optimizing for time, cost, and resource usage—while maximizing overall operational efficiency and service quality</t>
  </si>
  <si>
    <t xml:space="preserve">The mission of this project is to create an MVP for the AMOS Route Optimizer. Core functionality will include uploading appointment data, generating an optimized route plan based on efficiency criteria (e.g., time, cost, resource usage), and displaying the resulting plan on an interactive map interface.
</t>
  </si>
  <si>
    <t>Term</t>
  </si>
  <si>
    <t>Definition</t>
  </si>
  <si>
    <t>MVP</t>
  </si>
  <si>
    <t>Minimum Viable Product</t>
  </si>
  <si>
    <t>Route Optimizer</t>
  </si>
  <si>
    <t>Software that assigns field appointments efficiently based on time, cost, and resources.</t>
  </si>
  <si>
    <t>Appointment Data</t>
  </si>
  <si>
    <t>Input data including time, location, and service details for each appointment.</t>
  </si>
  <si>
    <t>Field Workers</t>
  </si>
  <si>
    <t>Mobile staff assigned to complete appointments in the field.</t>
  </si>
  <si>
    <t>Optimized Route Plan</t>
  </si>
  <si>
    <t>A calculated schedule that minimizes travel and improves efficiency.</t>
  </si>
  <si>
    <t>Efficiency Criteria</t>
  </si>
  <si>
    <t>Factors used in planning: time, cost, and resource usage.</t>
  </si>
  <si>
    <t>Interactive Map Interface</t>
  </si>
  <si>
    <t>A visual map showing routes, appointments, and assignments.</t>
  </si>
  <si>
    <t>Route Plan Visualization</t>
  </si>
  <si>
    <t>Graphical display of routes and appointments on a map.</t>
  </si>
  <si>
    <t>Sprint #</t>
  </si>
  <si>
    <t>Sprint goal</t>
  </si>
  <si>
    <t>None</t>
  </si>
  <si>
    <t>Finalize the optimization trigger flow, integrate distance calculations, and implement preprocessing to detect potential solver issues before execution.</t>
  </si>
  <si>
    <t>Connect backend route data to the frontend, visualize the full daily and worker plans, and introduce servicetime customization in both backend and UI.</t>
  </si>
  <si>
    <t>Enhance route planning by adding time constraints, optimizing performance for large datasets, and improving scheduling accuracy and scalability.</t>
  </si>
  <si>
    <t>Extend backend capabilities with support for skills, time windows, and caching, while enabling multi-day optimization and custom configuration options in the frontend.</t>
  </si>
  <si>
    <t>Enhance optimization flexibility by introducing new cost parameters, improving user control over addresses and day selection, and ensuring intuitive navigation between calendar and map views.</t>
  </si>
  <si>
    <t>Empower users to tailor the optimization to their needs by exposing additional configuration parameters enabling greater control, flexibility, and relevance of route planning for real-world scenarios</t>
  </si>
  <si>
    <t>Improve optimization fairness and robustness, finalize documentation, and enhance the frontend experience through bug fixes and UI improvements.</t>
  </si>
  <si>
    <t xml:space="preserve">Finalize documenation and prepare for demo day </t>
  </si>
  <si>
    <t>Story Points Realized</t>
  </si>
  <si>
    <t xml:space="preserve">Average </t>
  </si>
  <si>
    <t>PLEASE CREATE THE VELOCITY CHART ON A NEW TAB USING THE DATA FROM THIS TAB</t>
  </si>
  <si>
    <t>Sprint</t>
  </si>
  <si>
    <t>Goal</t>
  </si>
  <si>
    <t>Feature Name</t>
  </si>
  <si>
    <t>Est. size</t>
  </si>
  <si>
    <t>Est. remaining</t>
  </si>
  <si>
    <t>Real size</t>
  </si>
  <si>
    <t>Real remaining</t>
  </si>
  <si>
    <t>Release</t>
  </si>
  <si>
    <t>Total</t>
  </si>
  <si>
    <t>Estimated burn-down</t>
  </si>
  <si>
    <t>Real burn-down</t>
  </si>
  <si>
    <t>Basic formal documentation requirements</t>
  </si>
  <si>
    <t>Set up backend, frontend, and upload infrastructure to support the route planning flow.</t>
  </si>
  <si>
    <t>Complete the foundation for file upload, schema validation, and routing structure on both backend and frontend to prepare for full route processing.</t>
  </si>
  <si>
    <t>Integrate and run the initial optimization plan, connect validated input data, and prepare the frontend for dynamic interaction with editable and visual route elements.</t>
  </si>
  <si>
    <t>To strengthen the core data integrity and reporting capabilities by fully mapping vehicle identifiers, surfacing scheduling exceptions, and delivering precise route metrics—laying the foundation for reliable operations and stakeholder visibility.</t>
  </si>
  <si>
    <t>Features</t>
  </si>
  <si>
    <t>Set up Backend</t>
  </si>
  <si>
    <t>Save &amp; Load Scenarios from JSON</t>
  </si>
  <si>
    <t>Set Up CI/CD Pipeline</t>
  </si>
  <si>
    <t>Set up Front End</t>
  </si>
  <si>
    <t>Agreement on basic structure – Frontend Backend</t>
  </si>
  <si>
    <t>Validate Addresses via Google Maps Geocoding API</t>
  </si>
  <si>
    <t>Implement Start and Finish Address Fields (Business data)</t>
  </si>
  <si>
    <t>Add Worker Count Slider Component</t>
  </si>
  <si>
    <t>Create “Start Optimization” Button</t>
  </si>
  <si>
    <t>Create a routing structure on the frontend</t>
  </si>
  <si>
    <t>Build File Upload Component</t>
  </si>
  <si>
    <t>Docker File Creation</t>
  </si>
  <si>
    <t>Excel File Upload Functionality</t>
  </si>
  <si>
    <t>Convert Uploaded Excel File to JSON</t>
  </si>
  <si>
    <t>JSON Schema Validation for Uploaded File</t>
  </si>
  <si>
    <t>Create distance matrix from the uploaded address</t>
  </si>
  <si>
    <t>Migrate Frontend Components to ShadcnUI and TailwindCSS</t>
  </si>
  <si>
    <t>Map Business Data Sheet and Appointment Data to the UI</t>
  </si>
  <si>
    <t>Move Editable Inputs and Start Button to Map View</t>
  </si>
  <si>
    <t>Implement Basic Optimization Plan: First Draft</t>
  </si>
  <si>
    <t>Connecting Worker Address Validation and Distance Matrix</t>
  </si>
  <si>
    <t>Implement Basic Map View with Location Points Only</t>
  </si>
  <si>
    <t>Add Calendar View with Daily Appointment Overview</t>
  </si>
  <si>
    <t>Explore Options for Handling Faulty Addresses from Uploaded Files in the UI</t>
  </si>
  <si>
    <t>Implement Preprocessing Logic to Detect Potential Solver Failures: First Draft</t>
  </si>
  <si>
    <t>Implement Distance Calculation in the Route Optimization</t>
  </si>
  <si>
    <t>Project Optimized Routes on the Map View</t>
  </si>
  <si>
    <t>Prepare Application for Deployment in Industry Partner’s AWS Environment (Backend)</t>
  </si>
  <si>
    <t>Allow User to Uncheck Faulty Addresses and Proceed with Optimization</t>
  </si>
  <si>
    <t>Implement Frontend Visualization for Errors Raised in Preprocessing</t>
  </si>
  <si>
    <t>Display Daily Plan &amp; Worker Plan as a List/Table with Export Option</t>
  </si>
  <si>
    <t>Integrate Solver API Output to Frontend for Route Visualization</t>
  </si>
  <si>
    <t>Create Space and Distinguish between Service Time and Appointment Time in Backend</t>
  </si>
  <si>
    <t>Connect “Start Optimization” Button to Backend Optimization Trigger</t>
  </si>
  <si>
    <t>Perform Load Testing</t>
  </si>
  <si>
    <t>Update Project Documentation (Ongoing)</t>
  </si>
  <si>
    <t>Validate Constraint Compliance in Solver Output (Post Google OR-Tools): First Draft</t>
  </si>
  <si>
    <t>Prepare Mid-Term Release Demo Data</t>
  </si>
  <si>
    <t>Fix HTTPS conflict issue in production</t>
  </si>
  <si>
    <t>Refactor Distance matrix API</t>
  </si>
  <si>
    <t>PLEASE CREATE THE BURNDOWN CHART ON A NEW TAB USING THE DATA FROM THIS TAB</t>
  </si>
  <si>
    <r>
      <rPr>
        <color rgb="FF1155CC"/>
        <sz val="11.0"/>
        <u/>
      </rPr>
      <t>Exclude portion of waiting time from cost to accomodate breaks --&gt; possible ghost appointments for breaks</t>
    </r>
  </si>
  <si>
    <t xml:space="preserve">Create Company Info Configuration page
</t>
  </si>
  <si>
    <t>Scipt for Dummy Tets Creation</t>
  </si>
  <si>
    <t>Add Colored Start and end Address</t>
  </si>
  <si>
    <t>Add Month Support to calendar View</t>
  </si>
  <si>
    <t>Add Button to Daily and OWrker Plan</t>
  </si>
  <si>
    <t>Calculate Waiting time in Post processing</t>
  </si>
  <si>
    <t>Separate Pages for daily and Individual WOrker Plan</t>
  </si>
  <si>
    <t>Figure Starting Time Interval</t>
  </si>
  <si>
    <t>Add Route Metrics to Data Structure</t>
  </si>
  <si>
    <t>Map Veihicle Ids to Output</t>
  </si>
  <si>
    <t>Rewrite Route Metrics Calculation to Be Accurate and Integrated</t>
  </si>
  <si>
    <t>Implement Logic for Multiple Depots in the Solver</t>
  </si>
  <si>
    <t>Show Map view redirect</t>
  </si>
  <si>
    <t>Implement caching</t>
  </si>
  <si>
    <t>Add more parameters to configuration page</t>
  </si>
  <si>
    <t>Include Depot Departure/Return Time in Validation Report</t>
  </si>
  <si>
    <t>Show Optimization details on Multi day selection page</t>
  </si>
  <si>
    <t>Back Button in Map View Details to Current Month</t>
  </si>
  <si>
    <t xml:space="preserve">Update Save Button in Company Configuration Page </t>
  </si>
  <si>
    <t>Integrate Metric Logic into Solver</t>
  </si>
  <si>
    <t xml:space="preserve">Add Cost Metrics to Data Structure </t>
  </si>
  <si>
    <t xml:space="preserve">Add Option to Exclude Vehicles </t>
  </si>
  <si>
    <t>Enhance Multi-Day Selection feature</t>
  </si>
  <si>
    <t>Exclude portion of waiting time from cost to accomodate breaks --&gt; possible ghost appointments for breaks</t>
  </si>
  <si>
    <t xml:space="preserve">Lunch Break UI Handling
</t>
  </si>
  <si>
    <t>Distinguish Between Appointments and Depots in Validation Report</t>
  </si>
  <si>
    <t>Fixing the Validation report</t>
  </si>
  <si>
    <t xml:space="preserve">Implement Hover Effect on Buttons
</t>
  </si>
  <si>
    <t>Implement Testdata endpoint into frontend to directly populate it</t>
  </si>
  <si>
    <t>Implement MultiThread in API Calling</t>
  </si>
  <si>
    <t>Apply Multithreaded Geocoding to Geocoding API</t>
  </si>
  <si>
    <t>Back Button from Map View Redirects to Calendar View Instead of Week View</t>
  </si>
  <si>
    <t>Refactoring company info storage</t>
  </si>
  <si>
    <t>Address Removal After Verification Failure Does Not Trigger Re-Verification</t>
  </si>
  <si>
    <t>Multi-Day Selection Uses Incorrect Company Info</t>
  </si>
  <si>
    <t>Checkbox Uncheck Not Properly Removing Appointments from Map View List</t>
  </si>
  <si>
    <t>Route Toggle Switch Requires Page Refresh After Creating New Solution</t>
  </si>
  <si>
    <t>Add “Number of Impossible Appointments” to Validation Report</t>
  </si>
  <si>
    <t xml:space="preserve">Arrival and Departure Time per Appointment (frontend)
</t>
  </si>
  <si>
    <t xml:space="preserve">Arrival and Departure Time per Appointment (backend)
</t>
  </si>
  <si>
    <t>Show the results of the validation report</t>
  </si>
  <si>
    <t>Definition of MIssing and Impossible Appointments in the Pop Up</t>
  </si>
  <si>
    <t xml:space="preserve">Hide Routes with no Appointments </t>
  </si>
  <si>
    <t xml:space="preserve">Show Required skills for Appointments </t>
  </si>
  <si>
    <t xml:space="preserve">Dynamic solver time &amp; Progress Bar for Optimization </t>
  </si>
  <si>
    <t xml:space="preserve">Adjust SCV import to new format </t>
  </si>
  <si>
    <t>Correct Mapping of Location Optimizer</t>
  </si>
  <si>
    <t>Do not show NO_REAL_APPOINTMENT from Backend</t>
  </si>
  <si>
    <t>Create test data for demo day</t>
  </si>
  <si>
    <t>Update &amp; Finalize documentation</t>
  </si>
  <si>
    <t>ADD CLi for Date Range</t>
  </si>
  <si>
    <t>Add Missing appointments Payload and Update</t>
  </si>
  <si>
    <t>Reset Solution in UI</t>
  </si>
  <si>
    <t>Feature Definition of Done</t>
  </si>
  <si>
    <t>Sprint Release Definition of Done</t>
  </si>
  <si>
    <t>Project Release Definition of Done</t>
  </si>
  <si>
    <t xml:space="preserve"> Frontend and backend components for the feature are implemented and integrated
 Feature is reviewed via code review (e.g., pull request approved)
 Feature is merged into the development branch without breaking other functionalities
 The feature is demo-ready and accepted by the Product Owner</t>
  </si>
  <si>
    <t xml:space="preserve">The app builds and runs successfully in a clean environment
 All sprint backlog items marked as "Done" meet the Feature DoD
 Demo conducted with functioning features shown via "show and tell" in Sprint Planning session by the developers
 Release notes are created and shared (e.g., summary in planning document or GitHub)
 Velocity is tracked and recorded
</t>
  </si>
  <si>
    <t xml:space="preserve"> All core MVP functionality is implemented and passes acceptance tests
 Optimized route output is visualized on the map using real user inputs
 Documentation is complete (README.md, user guide, build instructions)
 System passes testing across common browsers/environments
 Mid- and final release plans are fulfilled
 Build process video and required deliverables are uploaded
</t>
  </si>
  <si>
    <t>Type</t>
  </si>
  <si>
    <t>Link / reference</t>
  </si>
  <si>
    <t>User Documentation</t>
  </si>
  <si>
    <t>https://github.com/amosproj/amos2025ss03-route-planning-app/wiki/User-Documentation</t>
  </si>
  <si>
    <t>Design Documentation</t>
  </si>
  <si>
    <t>https://github.com/amosproj/amos2025ss03-route-planning-app/wiki/Design-Documentation</t>
  </si>
  <si>
    <t>Build Documentation</t>
  </si>
  <si>
    <t>https://github.com/amosproj/amos2025ss03-route-planning-app/wiki/Build-Documentation</t>
  </si>
  <si>
    <t>Context</t>
  </si>
  <si>
    <t>Name</t>
  </si>
  <si>
    <t>Version</t>
  </si>
  <si>
    <t>License</t>
  </si>
  <si>
    <t>Programming Language for Backend</t>
  </si>
  <si>
    <t>Python</t>
  </si>
  <si>
    <t>Python Software Foundation (PSF) License</t>
  </si>
  <si>
    <t>API Framework for Backend API</t>
  </si>
  <si>
    <t>FastAPI</t>
  </si>
  <si>
    <t>0.103.1</t>
  </si>
  <si>
    <t>MIT License</t>
  </si>
  <si>
    <t>Route Optimization in Backend</t>
  </si>
  <si>
    <t>Google OR</t>
  </si>
  <si>
    <t>Apache 2.0</t>
  </si>
  <si>
    <t>Get Distance-Matrix between points for routing</t>
  </si>
  <si>
    <t>Google Maps API</t>
  </si>
  <si>
    <t>Commercial</t>
  </si>
  <si>
    <t>Programming Language for Frontend</t>
  </si>
  <si>
    <t>Typescript</t>
  </si>
  <si>
    <t>5.7.2</t>
  </si>
  <si>
    <t>Framework for Frontend</t>
  </si>
  <si>
    <t>ReactJS</t>
  </si>
  <si>
    <t>UI-Components for Frontend</t>
  </si>
  <si>
    <t>Shadcm UI</t>
  </si>
  <si>
    <t>2.5.0</t>
  </si>
  <si>
    <t>CSS Framwork for Frontend</t>
  </si>
  <si>
    <t>TailwindCSS</t>
  </si>
  <si>
    <t>Caching Server</t>
  </si>
  <si>
    <t>Redis</t>
  </si>
  <si>
    <t>BSD 3-Clause</t>
  </si>
  <si>
    <t>Containerization Tool</t>
  </si>
  <si>
    <t>Docker</t>
  </si>
  <si>
    <t>Container Orchestration</t>
  </si>
  <si>
    <t>Docker Compose</t>
  </si>
  <si>
    <t>2.24.5</t>
  </si>
  <si>
    <t>State Management</t>
  </si>
  <si>
    <t>React Redux</t>
  </si>
  <si>
    <t>9.2.0</t>
  </si>
  <si>
    <t>MIT</t>
  </si>
  <si>
    <t>Redux Toolkit</t>
  </si>
  <si>
    <t>2.7.0</t>
  </si>
  <si>
    <t>Data Fetching</t>
  </si>
  <si>
    <t>TanStack Query</t>
  </si>
  <si>
    <t>5.72.2</t>
  </si>
  <si>
    <t>Routing</t>
  </si>
  <si>
    <t>TanStack React Router</t>
  </si>
  <si>
    <t>1.119.0</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</si>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</sst>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0">
    <font>
      <sz val="10.0"/>
      <color rgb="FF000000"/>
      <name val="Arial"/>
    </font>
    <font>
      <b/>
    </font>
    <font/>
    <font>
      <u/>
      <color rgb="FF0000FF"/>
    </font>
    <font>
      <u/>
      <color rgb="FF0000FF"/>
    </font>
    <font>
      <b/>
      <name val="Arial"/>
    </font>
    <font>
      <name val="Arial"/>
    </font>
    <font>
      <color rgb="FFFFFFFF"/>
      <name val="Arial"/>
    </font>
    <font>
      <u/>
      <color rgb="FF0000FF"/>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28">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0" fontId="2" numFmtId="0" xfId="0" applyAlignment="1" applyFont="1">
      <alignment horizontal="left" readingOrder="0" shrinkToFit="0" wrapText="0"/>
    </xf>
    <xf borderId="0" fillId="0" fontId="2" numFmtId="0" xfId="0" applyAlignment="1" applyFont="1">
      <alignmen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5" numFmtId="0" xfId="0" applyAlignment="1" applyFill="1" applyFont="1">
      <alignment shrinkToFit="0" vertical="bottom" wrapText="1"/>
    </xf>
    <xf borderId="0" fillId="4" fontId="6" numFmtId="0" xfId="0" applyAlignment="1" applyFill="1" applyFont="1">
      <alignment readingOrder="0" shrinkToFit="0" vertical="bottom" wrapText="1"/>
    </xf>
    <xf borderId="0" fillId="3" fontId="6" numFmtId="0" xfId="0" applyAlignment="1" applyFont="1">
      <alignment readingOrder="0" shrinkToFit="0" vertical="bottom" wrapText="1"/>
    </xf>
    <xf borderId="0" fillId="4" fontId="6" numFmtId="0" xfId="0" applyAlignment="1" applyFont="1">
      <alignment shrinkToFit="0" vertical="bottom" wrapText="1"/>
    </xf>
    <xf borderId="0" fillId="0" fontId="2" numFmtId="0" xfId="0" applyAlignment="1" applyFont="1">
      <alignment readingOrder="0" shrinkToFit="0" wrapText="1"/>
    </xf>
    <xf borderId="0" fillId="3" fontId="5" numFmtId="0" xfId="0" applyAlignment="1" applyFont="1">
      <alignment readingOrder="0" shrinkToFit="0" vertical="bottom" wrapText="1"/>
    </xf>
    <xf borderId="0" fillId="4" fontId="6" numFmtId="0" xfId="0" applyAlignment="1" applyFont="1">
      <alignment shrinkToFit="0" vertical="bottom" wrapText="1"/>
    </xf>
    <xf borderId="0" fillId="3" fontId="5" numFmtId="0" xfId="0" applyAlignment="1" applyFont="1">
      <alignment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6"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4" fontId="2" numFmtId="0" xfId="0" applyAlignment="1" applyFont="1">
      <alignment readingOrder="0" shrinkToFit="0" wrapText="1"/>
    </xf>
    <xf borderId="0" fillId="0" fontId="2" numFmtId="0" xfId="0" applyAlignment="1" applyFont="1">
      <alignment horizontal="left" shrinkToFit="0" wrapText="1"/>
    </xf>
    <xf borderId="0" fillId="0" fontId="2" numFmtId="2" xfId="0" applyAlignment="1" applyFont="1" applyNumberFormat="1">
      <alignment shrinkToFit="0" wrapText="1"/>
    </xf>
    <xf borderId="0" fillId="5" fontId="1" numFmtId="0" xfId="0" applyAlignment="1" applyFill="1" applyFont="1">
      <alignment readingOrder="0" shrinkToFit="0" wrapText="1"/>
    </xf>
    <xf borderId="0" fillId="2" fontId="5" numFmtId="0" xfId="0" applyAlignment="1" applyFont="1">
      <alignment horizontal="left" shrinkToFit="0" vertical="bottom" wrapText="1"/>
    </xf>
    <xf borderId="0" fillId="2" fontId="5" numFmtId="0" xfId="0" applyAlignment="1" applyFont="1">
      <alignment shrinkToFit="0" vertical="bottom" wrapText="0"/>
    </xf>
    <xf borderId="0" fillId="2" fontId="5" numFmtId="0" xfId="0" applyAlignment="1" applyFont="1">
      <alignment shrinkToFit="0" vertical="bottom" wrapText="0"/>
    </xf>
    <xf borderId="0" fillId="2" fontId="5" numFmtId="0" xfId="0" applyAlignment="1" applyFont="1">
      <alignment horizontal="center" readingOrder="0" shrinkToFit="0" vertical="bottom" wrapText="1"/>
    </xf>
    <xf borderId="0" fillId="3" fontId="6" numFmtId="0" xfId="0" applyAlignment="1" applyFont="1">
      <alignment horizontal="left" shrinkToFit="0" vertical="bottom" wrapText="1"/>
    </xf>
    <xf borderId="0" fillId="3" fontId="6" numFmtId="0" xfId="0" applyAlignment="1" applyFont="1">
      <alignment shrinkToFit="0" vertical="bottom" wrapText="0"/>
    </xf>
    <xf borderId="0" fillId="6" fontId="5" numFmtId="0" xfId="0" applyAlignment="1" applyFill="1" applyFont="1">
      <alignment horizontal="left" shrinkToFit="0" vertical="bottom" wrapText="0"/>
    </xf>
    <xf borderId="0" fillId="6" fontId="6" numFmtId="0" xfId="0" applyAlignment="1" applyFont="1">
      <alignment shrinkToFit="0" vertical="bottom" wrapText="0"/>
    </xf>
    <xf borderId="0" fillId="6" fontId="6" numFmtId="0" xfId="0" applyAlignment="1" applyFont="1">
      <alignment shrinkToFit="0" vertical="bottom" wrapText="1"/>
    </xf>
    <xf borderId="0" fillId="4" fontId="5" numFmtId="0" xfId="0" applyAlignment="1" applyFont="1">
      <alignment shrinkToFit="0" vertical="bottom" wrapText="0"/>
    </xf>
    <xf borderId="0" fillId="0" fontId="2" numFmtId="0" xfId="0" applyAlignment="1" applyFont="1">
      <alignment shrinkToFit="0" wrapText="0"/>
    </xf>
    <xf borderId="0" fillId="4" fontId="6" numFmtId="0" xfId="0" applyAlignment="1" applyFont="1">
      <alignment horizontal="right" shrinkToFit="0" vertical="bottom" wrapText="0"/>
    </xf>
    <xf borderId="0" fillId="7" fontId="5" numFmtId="0" xfId="0" applyAlignment="1" applyFill="1" applyFont="1">
      <alignment horizontal="left" readingOrder="0" shrinkToFit="0" vertical="bottom" wrapText="0"/>
    </xf>
    <xf borderId="0" fillId="7" fontId="5" numFmtId="0" xfId="0" applyAlignment="1" applyFont="1">
      <alignment shrinkToFit="0" vertical="bottom" wrapText="0"/>
    </xf>
    <xf borderId="0" fillId="7" fontId="6" numFmtId="0" xfId="0" applyAlignment="1" applyFont="1">
      <alignment shrinkToFit="0" vertical="bottom" wrapText="1"/>
    </xf>
    <xf borderId="0" fillId="3" fontId="7" numFmtId="0" xfId="0" applyAlignment="1" applyFont="1">
      <alignment horizontal="center" shrinkToFit="0" vertical="bottom" wrapText="0"/>
    </xf>
    <xf borderId="0" fillId="4" fontId="6" numFmtId="0" xfId="0" applyAlignment="1" applyFont="1">
      <alignment horizontal="left" shrinkToFit="0" vertical="bottom" wrapText="1"/>
    </xf>
    <xf borderId="0" fillId="3" fontId="6" numFmtId="0" xfId="0" applyAlignment="1" applyFont="1">
      <alignment horizontal="right" shrinkToFit="0" vertical="bottom" wrapText="0"/>
    </xf>
    <xf borderId="0" fillId="3" fontId="6" numFmtId="0" xfId="0" applyAlignment="1" applyFont="1">
      <alignment horizontal="left" readingOrder="0" shrinkToFit="0" vertical="bottom" wrapText="1"/>
    </xf>
    <xf borderId="0" fillId="4" fontId="6" numFmtId="0" xfId="0" applyAlignment="1" applyFont="1">
      <alignment horizontal="left" readingOrder="0" shrinkToFit="0" vertical="bottom" wrapText="1"/>
    </xf>
    <xf borderId="0" fillId="3" fontId="6" numFmtId="0" xfId="0" applyAlignment="1" applyFont="1">
      <alignment horizontal="left" shrinkToFit="0" vertical="bottom" wrapText="1"/>
    </xf>
    <xf borderId="0" fillId="3" fontId="5" numFmtId="0" xfId="0" applyAlignment="1" applyFont="1">
      <alignment shrinkToFit="0" vertical="bottom" wrapText="0"/>
    </xf>
    <xf borderId="0" fillId="3" fontId="5" numFmtId="0" xfId="0" applyAlignment="1" applyFont="1">
      <alignment horizontal="left" shrinkToFit="0" vertical="bottom" wrapText="0"/>
    </xf>
    <xf borderId="0" fillId="3" fontId="5" numFmtId="0" xfId="0" applyAlignment="1" applyFont="1">
      <alignment shrinkToFit="0" vertical="bottom" wrapText="0"/>
    </xf>
    <xf borderId="0" fillId="4" fontId="5" numFmtId="0" xfId="0" applyAlignment="1" applyFont="1">
      <alignment horizontal="left" shrinkToFit="0" vertical="bottom" wrapText="0"/>
    </xf>
    <xf borderId="0" fillId="3" fontId="6" numFmtId="0" xfId="0" applyAlignment="1" applyFont="1">
      <alignment shrinkToFit="0" vertical="bottom" wrapText="0"/>
    </xf>
    <xf borderId="0" fillId="4" fontId="5" numFmtId="0" xfId="0" applyAlignment="1" applyFont="1">
      <alignment horizontal="left" readingOrder="0" shrinkToFit="0" vertical="bottom" wrapText="0"/>
    </xf>
    <xf borderId="0" fillId="4" fontId="2" numFmtId="0" xfId="0" applyAlignment="1" applyFont="1">
      <alignment shrinkToFit="0" wrapText="1"/>
    </xf>
    <xf borderId="0" fillId="3" fontId="5" numFmtId="0" xfId="0" applyAlignment="1" applyFont="1">
      <alignment horizontal="left" shrinkToFit="0" vertical="bottom" wrapText="0"/>
    </xf>
    <xf borderId="0" fillId="4" fontId="6" numFmtId="0" xfId="0" applyAlignment="1" applyFont="1">
      <alignment shrinkToFit="0" vertical="bottom" wrapText="0"/>
    </xf>
    <xf borderId="0" fillId="3" fontId="5" numFmtId="0" xfId="0" applyAlignment="1" applyFont="1">
      <alignment horizontal="left" readingOrder="0" shrinkToFit="0" vertical="bottom" wrapText="0"/>
    </xf>
    <xf borderId="0" fillId="3" fontId="6" numFmtId="0" xfId="0" applyAlignment="1" applyFont="1">
      <alignment readingOrder="0" shrinkToFit="0" vertical="bottom" wrapText="0"/>
    </xf>
    <xf borderId="0" fillId="3" fontId="6" numFmtId="0" xfId="0" applyAlignment="1" applyFont="1">
      <alignment horizontal="right" readingOrder="0" shrinkToFit="0" vertical="bottom" wrapText="0"/>
    </xf>
    <xf borderId="0" fillId="3" fontId="1" numFmtId="0" xfId="0" applyAlignment="1" applyFont="1">
      <alignment readingOrder="0" shrinkToFit="0" wrapText="0"/>
    </xf>
    <xf borderId="0" fillId="0" fontId="8" numFmtId="0" xfId="0" applyAlignment="1" applyFont="1">
      <alignment readingOrder="0" shrinkToFit="0" wrapText="1"/>
    </xf>
    <xf borderId="0" fillId="7" fontId="5" numFmtId="0" xfId="0" applyAlignment="1" applyFont="1">
      <alignment readingOrder="0" shrinkToFit="0" vertical="bottom" wrapText="0"/>
    </xf>
    <xf borderId="0" fillId="3" fontId="6" numFmtId="0" xfId="0" applyAlignment="1" applyFont="1">
      <alignment shrinkToFit="0" vertical="bottom" wrapText="1"/>
    </xf>
    <xf borderId="0" fillId="3" fontId="6" numFmtId="0" xfId="0" applyAlignment="1" applyFont="1">
      <alignment shrinkToFit="0" vertical="bottom" wrapText="1"/>
    </xf>
    <xf borderId="0" fillId="3" fontId="7" numFmtId="0" xfId="0" applyAlignment="1" applyFont="1">
      <alignment horizontal="center" shrinkToFit="0" vertical="bottom" wrapText="0"/>
    </xf>
    <xf borderId="0" fillId="4" fontId="6" numFmtId="0" xfId="0" applyAlignment="1" applyFont="1">
      <alignment horizontal="right" shrinkToFit="0" vertical="bottom" wrapText="1"/>
    </xf>
    <xf borderId="0" fillId="4" fontId="6" numFmtId="0" xfId="0" applyAlignment="1" applyFont="1">
      <alignment horizontal="left" readingOrder="0" shrinkToFit="0" vertical="bottom" wrapText="0"/>
    </xf>
    <xf borderId="0" fillId="4" fontId="6" numFmtId="0" xfId="0" applyAlignment="1" applyFont="1">
      <alignment readingOrder="0" shrinkToFit="0" vertical="bottom" wrapText="0"/>
    </xf>
    <xf borderId="0" fillId="3" fontId="2" numFmtId="0" xfId="0" applyAlignment="1" applyFont="1">
      <alignment horizontal="left" readingOrder="0" shrinkToFit="0" wrapText="1"/>
    </xf>
    <xf borderId="0" fillId="3" fontId="6" numFmtId="0" xfId="0" applyAlignment="1" applyFont="1">
      <alignment horizontal="left" readingOrder="0" shrinkToFit="0" vertical="bottom" wrapText="0"/>
    </xf>
    <xf borderId="0" fillId="4" fontId="2" numFmtId="0" xfId="0" applyAlignment="1" applyFont="1">
      <alignment horizontal="left" readingOrder="0" shrinkToFit="0" wrapText="1"/>
    </xf>
    <xf borderId="0" fillId="4" fontId="2" numFmtId="0" xfId="0" applyAlignment="1" applyFont="1">
      <alignment horizontal="left" shrinkToFit="0" wrapText="1"/>
    </xf>
    <xf borderId="0" fillId="3" fontId="2" numFmtId="0" xfId="0" applyAlignment="1" applyFont="1">
      <alignment horizontal="left" shrinkToFit="0" wrapText="1"/>
    </xf>
    <xf borderId="0" fillId="0" fontId="2" numFmtId="0" xfId="0" applyAlignment="1" applyFont="1">
      <alignment horizontal="left" readingOrder="0" shrinkToFit="0" wrapText="1"/>
    </xf>
    <xf borderId="0" fillId="3" fontId="6" numFmtId="0" xfId="0" applyAlignment="1" applyFont="1">
      <alignment horizontal="left" shrinkToFit="0" vertical="bottom" wrapText="0"/>
    </xf>
    <xf borderId="0" fillId="2" fontId="5" numFmtId="0" xfId="0" applyAlignment="1" applyFont="1">
      <alignment shrinkToFit="0" vertical="bottom" wrapText="1"/>
    </xf>
    <xf borderId="0" fillId="2" fontId="5" numFmtId="0" xfId="0" applyAlignment="1" applyFont="1">
      <alignment readingOrder="0" shrinkToFit="0" vertical="bottom"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0" xfId="0" applyAlignment="1" applyFont="1">
      <alignment horizontal="left" shrinkToFit="0" vertical="center" wrapText="1"/>
    </xf>
    <xf borderId="0" fillId="2" fontId="5" numFmtId="0" xfId="0" applyAlignment="1" applyFont="1">
      <alignment shrinkToFit="0" vertical="center" wrapText="1"/>
    </xf>
    <xf borderId="0" fillId="2" fontId="5" numFmtId="0" xfId="0" applyAlignment="1" applyFont="1">
      <alignment horizontal="center" shrinkToFit="0" vertical="center" wrapText="1"/>
    </xf>
    <xf borderId="0" fillId="2" fontId="5" numFmtId="4" xfId="0" applyAlignment="1" applyFont="1" applyNumberFormat="1">
      <alignment shrinkToFit="0" vertical="center" wrapText="1"/>
    </xf>
    <xf borderId="0" fillId="2" fontId="6" numFmtId="4" xfId="0" applyAlignment="1" applyFont="1" applyNumberFormat="1">
      <alignment shrinkToFit="0" vertical="center" wrapText="1"/>
    </xf>
    <xf borderId="0" fillId="2" fontId="6" numFmtId="0" xfId="0" applyAlignment="1" applyFont="1">
      <alignment shrinkToFit="0" vertical="center" wrapText="1"/>
    </xf>
    <xf borderId="0" fillId="2" fontId="1" numFmtId="0" xfId="0" applyAlignment="1" applyFont="1">
      <alignment shrinkToFit="0" vertical="center" wrapText="1"/>
    </xf>
    <xf borderId="0" fillId="3" fontId="5" numFmtId="0" xfId="0" applyAlignment="1" applyFont="1">
      <alignment shrinkToFit="0" vertical="center" wrapText="1"/>
    </xf>
    <xf borderId="0" fillId="5" fontId="6" numFmtId="0" xfId="0" applyAlignment="1" applyFont="1">
      <alignment horizontal="center" readingOrder="0" shrinkToFit="0" vertical="center" wrapText="1"/>
    </xf>
    <xf borderId="0" fillId="3" fontId="6" numFmtId="4" xfId="0" applyAlignment="1" applyFont="1" applyNumberFormat="1">
      <alignment shrinkToFit="0" vertical="center" wrapText="1"/>
    </xf>
    <xf borderId="0" fillId="8" fontId="9" numFmtId="4" xfId="0" applyAlignment="1" applyFill="1" applyFont="1" applyNumberFormat="1">
      <alignment horizontal="center" shrinkToFit="0" vertical="center" wrapText="1"/>
    </xf>
    <xf borderId="0" fillId="8" fontId="9" numFmtId="0" xfId="0" applyAlignment="1" applyFont="1">
      <alignment horizontal="center" shrinkToFit="0" vertical="center" wrapText="1"/>
    </xf>
    <xf borderId="0" fillId="3" fontId="2" numFmtId="0" xfId="0" applyAlignment="1" applyFont="1">
      <alignment shrinkToFit="0" vertical="center" wrapText="1"/>
    </xf>
    <xf borderId="0" fillId="4" fontId="5" numFmtId="0" xfId="0" applyAlignment="1" applyFont="1">
      <alignment shrinkToFit="0" vertical="center" wrapText="1"/>
    </xf>
    <xf borderId="0" fillId="4" fontId="6" numFmtId="4" xfId="0" applyAlignment="1" applyFont="1" applyNumberFormat="1">
      <alignment shrinkToFit="0" vertical="center" wrapText="1"/>
    </xf>
    <xf borderId="0" fillId="4" fontId="2" numFmtId="0" xfId="0" applyAlignment="1" applyFont="1">
      <alignment shrinkToFit="0" vertical="center" wrapText="1"/>
    </xf>
    <xf borderId="0" fillId="4" fontId="6" numFmtId="0" xfId="0" applyAlignment="1" applyFont="1">
      <alignment shrinkToFit="0" vertical="center" wrapText="1"/>
    </xf>
    <xf borderId="0" fillId="3" fontId="6" numFmtId="0" xfId="0" applyAlignment="1" applyFont="1">
      <alignment shrinkToFit="0" vertical="center" wrapText="1"/>
    </xf>
    <xf borderId="0" fillId="7" fontId="6" numFmtId="0" xfId="0" applyAlignment="1" applyFont="1">
      <alignment horizontal="center" shrinkToFit="0" vertical="center" wrapText="1"/>
    </xf>
    <xf borderId="0" fillId="7" fontId="6" numFmtId="0" xfId="0" applyAlignment="1" applyFont="1">
      <alignment readingOrder="0" shrinkToFit="0" vertical="center" wrapText="1"/>
    </xf>
    <xf borderId="0" fillId="5" fontId="6" numFmtId="0" xfId="0" applyAlignment="1" applyFont="1">
      <alignment horizontal="center" shrinkToFit="0" vertical="center" wrapText="1"/>
    </xf>
    <xf borderId="0" fillId="4" fontId="5" numFmtId="0" xfId="0" applyAlignment="1" applyFont="1">
      <alignment readingOrder="0" shrinkToFit="0" vertical="center" wrapText="1"/>
    </xf>
    <xf borderId="0" fillId="3" fontId="1" numFmtId="0" xfId="0" applyAlignment="1" applyFont="1">
      <alignment shrinkToFit="0" wrapText="0"/>
    </xf>
    <xf borderId="0" fillId="3" fontId="1"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2">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15" Type="http://schemas.openxmlformats.org/officeDocument/2006/relationships/worksheet" Target="worksheets/sheet13.xml"/><Relationship Id="rId14" Type="http://schemas.openxmlformats.org/officeDocument/2006/relationships/worksheet" Target="worksheets/sheet12.xml"/><Relationship Id="rId17" Type="http://schemas.openxmlformats.org/officeDocument/2006/relationships/worksheet" Target="worksheets/sheet15.xml"/><Relationship Id="rId16" Type="http://schemas.openxmlformats.org/officeDocument/2006/relationships/worksheet" Target="worksheets/sheet14.xml"/><Relationship Id="rId5" Type="http://schemas.openxmlformats.org/officeDocument/2006/relationships/worksheet" Target="worksheets/sheet3.xml"/><Relationship Id="rId6" Type="http://schemas.openxmlformats.org/officeDocument/2006/relationships/worksheet" Target="worksheets/sheet4.xml"/><Relationship Id="rId18" Type="http://schemas.openxmlformats.org/officeDocument/2006/relationships/worksheet" Target="worksheets/sheet16.xml"/><Relationship Id="rId7" Type="http://schemas.openxmlformats.org/officeDocument/2006/relationships/worksheet" Target="worksheets/sheet5.xml"/><Relationship Id="rId8" Type="http://schemas.openxmlformats.org/officeDocument/2006/relationships/worksheet" Target="worksheets/sheet6.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Velocity Chart</a:t>
            </a:r>
          </a:p>
        </c:rich>
      </c:tx>
      <c:overlay val="0"/>
    </c:title>
    <c:plotArea>
      <c:layout/>
      <c:barChart>
        <c:barDir val="col"/>
        <c:ser>
          <c:idx val="0"/>
          <c:order val="0"/>
          <c:tx>
            <c:v>Story Points</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'Velocity Tracking'!$A$2:$A$13</c:f>
            </c:strRef>
          </c:cat>
          <c:val>
            <c:numRef>
              <c:f>'Velocity Tracking'!$B$2:$B$13</c:f>
              <c:numCache/>
            </c:numRef>
          </c:val>
        </c:ser>
        <c:axId val="1275566196"/>
        <c:axId val="599894543"/>
      </c:barChart>
      <c:lineChart>
        <c:varyColors val="0"/>
        <c:ser>
          <c:idx val="1"/>
          <c:order val="1"/>
          <c:tx>
            <c:v>Average </c:v>
          </c:tx>
          <c:spPr>
            <a:ln cmpd="sng">
              <a:solidFill>
                <a:srgbClr val="DB4437"/>
              </a:solidFill>
            </a:ln>
          </c:spPr>
          <c:marker>
            <c:symbol val="none"/>
          </c:marker>
          <c:dPt>
            <c:idx val="7"/>
            <c:marker>
              <c:symbol val="none"/>
            </c:marker>
          </c:dPt>
          <c:cat>
            <c:strRef>
              <c:f>'Velocity Tracking'!$A$2:$A$13</c:f>
            </c:strRef>
          </c:cat>
          <c:val>
            <c:numRef>
              <c:f>'Velocity Tracking'!$C$2:$C$13</c:f>
              <c:numCache/>
            </c:numRef>
          </c:val>
          <c:smooth val="0"/>
        </c:ser>
        <c:axId val="1275566196"/>
        <c:axId val="599894543"/>
      </c:lineChart>
      <c:catAx>
        <c:axId val="1275566196"/>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 #</a:t>
                </a:r>
              </a:p>
            </c:rich>
          </c:tx>
          <c:overlay val="0"/>
        </c:title>
        <c:numFmt formatCode="General" sourceLinked="1"/>
        <c:majorTickMark val="none"/>
        <c:minorTickMark val="none"/>
        <c:spPr/>
        <c:txPr>
          <a:bodyPr/>
          <a:lstStyle/>
          <a:p>
            <a:pPr lvl="0">
              <a:defRPr b="0">
                <a:solidFill>
                  <a:srgbClr val="000000"/>
                </a:solidFill>
                <a:latin typeface="Roboto"/>
              </a:defRPr>
            </a:pPr>
          </a:p>
        </c:txPr>
        <c:crossAx val="599894543"/>
      </c:catAx>
      <c:valAx>
        <c:axId val="5998945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275566196"/>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Sprints 1-6</a:t>
            </a:r>
          </a:p>
        </c:rich>
      </c:tx>
      <c:overlay val="0"/>
    </c:title>
    <c:plotArea>
      <c:layout/>
      <c:barChart>
        <c:barDir val="col"/>
        <c:ser>
          <c:idx val="0"/>
          <c:order val="0"/>
          <c:tx>
            <c:v>Estimated size</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val>
            <c:numRef>
              <c:f>'Mid-Project Release plan'!$E$10:$E$14</c:f>
              <c:numCache/>
            </c:numRef>
          </c:val>
        </c:ser>
        <c:ser>
          <c:idx val="1"/>
          <c:order val="1"/>
          <c:tx>
            <c:v>Real size</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val>
            <c:numRef>
              <c:f>'Mid-Project Release plan'!$G$10:$G$14</c:f>
              <c:numCache/>
            </c:numRef>
          </c:val>
        </c:ser>
        <c:axId val="1909425508"/>
        <c:axId val="1479724712"/>
      </c:barChart>
      <c:catAx>
        <c:axId val="1909425508"/>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spPr/>
        <c:txPr>
          <a:bodyPr/>
          <a:lstStyle/>
          <a:p>
            <a:pPr lvl="0">
              <a:defRPr b="0">
                <a:solidFill>
                  <a:srgbClr val="000000"/>
                </a:solidFill>
                <a:latin typeface="Roboto"/>
              </a:defRPr>
            </a:pPr>
          </a:p>
        </c:txPr>
        <c:crossAx val="1479724712"/>
      </c:catAx>
      <c:valAx>
        <c:axId val="14797247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909425508"/>
      </c:valAx>
    </c:plotArea>
    <c:legend>
      <c:legendPos val="r"/>
      <c:overlay val="0"/>
      <c:txPr>
        <a:bodyPr/>
        <a:lstStyle/>
        <a:p>
          <a:pPr lvl="0">
            <a:defRPr b="0">
              <a:solidFill>
                <a:srgbClr val="000000"/>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Sprint 7 - 12</a:t>
            </a:r>
          </a:p>
        </c:rich>
      </c:tx>
      <c:overlay val="0"/>
    </c:title>
    <c:plotArea>
      <c:layout/>
      <c:barChart>
        <c:barDir val="col"/>
        <c:ser>
          <c:idx val="0"/>
          <c:order val="0"/>
          <c:tx>
            <c:v>Estimated Size</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val>
            <c:numRef>
              <c:f>'Final Project Release plan'!$E$10:$E$16</c:f>
              <c:numCache/>
            </c:numRef>
          </c:val>
        </c:ser>
        <c:ser>
          <c:idx val="1"/>
          <c:order val="1"/>
          <c:tx>
            <c:v>Real size</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val>
            <c:numRef>
              <c:f>'Final Project Release plan'!$G$10:$G$16</c:f>
              <c:numCache/>
            </c:numRef>
          </c:val>
        </c:ser>
        <c:axId val="355782254"/>
        <c:axId val="1394022127"/>
      </c:barChart>
      <c:catAx>
        <c:axId val="355782254"/>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spPr/>
        <c:txPr>
          <a:bodyPr/>
          <a:lstStyle/>
          <a:p>
            <a:pPr lvl="0">
              <a:defRPr b="0">
                <a:solidFill>
                  <a:srgbClr val="000000"/>
                </a:solidFill>
                <a:latin typeface="Roboto"/>
              </a:defRPr>
            </a:pPr>
          </a:p>
        </c:txPr>
        <c:crossAx val="1394022127"/>
      </c:catAx>
      <c:valAx>
        <c:axId val="13940221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355782254"/>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104775</xdr:colOff>
      <xdr:row>7</xdr:row>
      <xdr:rowOff>123825</xdr:rowOff>
    </xdr:from>
    <xdr:ext cx="6457950" cy="37719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390525</xdr:colOff>
      <xdr:row>2</xdr:row>
      <xdr:rowOff>85725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590550</xdr:colOff>
      <xdr:row>2</xdr:row>
      <xdr:rowOff>85725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20" displayName="Table_1" name="Table_1" id="1">
  <tableColumns count="2">
    <tableColumn name="Project Name" id="1"/>
    <tableColumn name="Route planning App" id="2"/>
  </tableColumns>
  <tableStyleInfo name="Project Data-style" showColumnStripes="0" showFirstColumn="1" showLastColumn="1" showRowStripes="1"/>
</table>
</file>

<file path=xl/tables/table2.xml><?xml version="1.0" encoding="utf-8"?>
<table xmlns="http://schemas.openxmlformats.org/spreadsheetml/2006/main" ref="A1:D17"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60" displayName="Table_4" name="Table_4" id="4">
  <tableColumns count="2">
    <tableColumn name="Goals" id="1"/>
    <tableColumn name="Have an enjoyable experience in working together"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C20" displayName="Table_7" name="Table_7" id="7">
  <tableColumns count="3">
    <tableColumn name="Sprint #" id="1"/>
    <tableColumn name="Story Points Realized" id="2"/>
    <tableColumn name="Average " id="3"/>
  </tableColumns>
  <tableStyleInfo name="Velocity Tracking-style" showColumnStripes="0" showFirstColumn="1" showLastColumn="1" showRowStripes="1"/>
</table>
</file>

<file path=xl/tables/table8.xml><?xml version="1.0" encoding="utf-8"?>
<table xmlns="http://schemas.openxmlformats.org/spreadsheetml/2006/main" headerRowCount="0" ref="A1:M70" displayName="Table_8" name="Table_8" id="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Mid-Project Release plan-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ref="A1:G84" displayName="Table_9" name="Table_9" id="9">
  <tableColumns count="7">
    <tableColumn name="Exclude portion of waiting time from cost to accomodate breaks --&gt; possible ghost appointments for breaks"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F21" displayName="Table_12" name="Table_12" id="12">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u-berlin.zoom-x.de/j/63201367987?pwd=pwLP7eO90NCqkHyHE0cssfqZA0PwDl.1" TargetMode="External"/><Relationship Id="rId2" Type="http://schemas.openxmlformats.org/officeDocument/2006/relationships/hyperlink" Target="https://github.com/amosproj/amos2025ss03-route-planning-app" TargetMode="External"/><Relationship Id="rId3" Type="http://schemas.openxmlformats.org/officeDocument/2006/relationships/hyperlink" Target="https://github.com/orgs/amosproj/projects/81" TargetMode="External"/><Relationship Id="rId4" Type="http://schemas.openxmlformats.org/officeDocument/2006/relationships/hyperlink" Target="https://github.com/orgs/amosproj/projects/85" TargetMode="External"/><Relationship Id="rId5" Type="http://schemas.openxmlformats.org/officeDocument/2006/relationships/hyperlink" Target="https://www.shirtinator.de/loadBasket/PNnhXl2COPF" TargetMode="External"/><Relationship Id="rId6" Type="http://schemas.openxmlformats.org/officeDocument/2006/relationships/drawing" Target="../drawings/drawing1.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amosproj/amos2025ss03-route-planning-app/issues/246" TargetMode="External"/><Relationship Id="rId2" Type="http://schemas.openxmlformats.org/officeDocument/2006/relationships/drawing" Target="../drawings/drawing11.xml"/><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amosproj/amos2025ss03-route-planning-app/wiki/User-Documentation" TargetMode="External"/><Relationship Id="rId2" Type="http://schemas.openxmlformats.org/officeDocument/2006/relationships/hyperlink" Target="https://github.com/amosproj/amos2025ss03-route-planning-app/wiki/Design-Documentation" TargetMode="External"/><Relationship Id="rId3" Type="http://schemas.openxmlformats.org/officeDocument/2006/relationships/hyperlink" Target="https://github.com/amosproj/amos2025ss03-route-planning-app/wiki/Build-Documentation" TargetMode="External"/><Relationship Id="rId4" Type="http://schemas.openxmlformats.org/officeDocument/2006/relationships/drawing" Target="../drawings/drawing14.xml"/><Relationship Id="rId6"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2"/>
    </row>
    <row r="5">
      <c r="A5" s="4" t="s">
        <v>4</v>
      </c>
      <c r="B5" s="2"/>
    </row>
    <row r="6">
      <c r="A6" s="4" t="s">
        <v>5</v>
      </c>
      <c r="B6" s="2" t="s">
        <v>6</v>
      </c>
    </row>
    <row r="7">
      <c r="A7" s="1"/>
      <c r="B7" s="3"/>
    </row>
    <row r="8">
      <c r="A8" s="4" t="s">
        <v>7</v>
      </c>
      <c r="B8" s="5" t="s">
        <v>8</v>
      </c>
    </row>
    <row r="9">
      <c r="A9" s="4" t="s">
        <v>9</v>
      </c>
      <c r="B9" s="6" t="s">
        <v>10</v>
      </c>
    </row>
    <row r="10">
      <c r="A10" s="4" t="s">
        <v>11</v>
      </c>
      <c r="B10" s="6" t="s">
        <v>12</v>
      </c>
    </row>
    <row r="11">
      <c r="A11" s="1"/>
      <c r="B11" s="3"/>
    </row>
    <row r="12">
      <c r="A12" s="4" t="s">
        <v>13</v>
      </c>
      <c r="B12" s="5" t="s">
        <v>14</v>
      </c>
    </row>
    <row r="13">
      <c r="A13" s="4" t="s">
        <v>15</v>
      </c>
      <c r="B13" s="2" t="s">
        <v>6</v>
      </c>
    </row>
    <row r="14">
      <c r="A14" s="1"/>
      <c r="B14" s="3"/>
    </row>
    <row r="15">
      <c r="A15" s="1" t="s">
        <v>16</v>
      </c>
      <c r="B15" s="3" t="s">
        <v>6</v>
      </c>
    </row>
    <row r="16">
      <c r="A16" s="1"/>
      <c r="B16" s="3"/>
    </row>
    <row r="17">
      <c r="A17" s="4" t="s">
        <v>17</v>
      </c>
      <c r="B17" s="2" t="s">
        <v>18</v>
      </c>
    </row>
    <row r="18">
      <c r="A18" s="1"/>
      <c r="B18" s="3"/>
    </row>
    <row r="19">
      <c r="A19" s="1"/>
      <c r="B19" s="3"/>
    </row>
    <row r="20">
      <c r="A20" s="1"/>
      <c r="B20" s="2"/>
    </row>
  </sheetData>
  <hyperlinks>
    <hyperlink r:id="rId1" ref="B3"/>
    <hyperlink r:id="rId2" ref="B8"/>
    <hyperlink r:id="rId3" ref="B9"/>
    <hyperlink r:id="rId4" ref="B10"/>
    <hyperlink r:id="rId5" ref="B12"/>
  </hyperlinks>
  <printOptions gridLines="1" horizontalCentered="1"/>
  <pageMargins bottom="0.75" footer="0.0" header="0.0" left="0.7" right="0.7" top="0.75"/>
  <pageSetup fitToHeight="0" paperSize="9" cellComments="atEnd" orientation="landscape" pageOrder="overThenDown"/>
  <drawing r:id="rId6"/>
  <tableParts count="1">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7" t="s">
        <v>19</v>
      </c>
      <c r="B1" s="7" t="s">
        <v>20</v>
      </c>
      <c r="C1" s="7" t="s">
        <v>21</v>
      </c>
      <c r="D1" s="7" t="s">
        <v>22</v>
      </c>
    </row>
    <row r="2">
      <c r="A2" s="8" t="s">
        <v>23</v>
      </c>
      <c r="B2" s="8" t="s">
        <v>24</v>
      </c>
      <c r="C2" s="8" t="s">
        <v>25</v>
      </c>
      <c r="D2" s="8" t="s">
        <v>26</v>
      </c>
    </row>
    <row r="3">
      <c r="A3" s="8" t="s">
        <v>27</v>
      </c>
      <c r="B3" s="8" t="s">
        <v>28</v>
      </c>
      <c r="C3" s="8" t="s">
        <v>29</v>
      </c>
      <c r="D3" s="8" t="s">
        <v>30</v>
      </c>
    </row>
    <row r="4">
      <c r="A4" s="8" t="s">
        <v>31</v>
      </c>
      <c r="B4" s="8" t="s">
        <v>32</v>
      </c>
      <c r="C4" s="8" t="s">
        <v>33</v>
      </c>
      <c r="D4" s="8"/>
    </row>
    <row r="5">
      <c r="A5" s="8" t="s">
        <v>34</v>
      </c>
      <c r="B5" s="8" t="s">
        <v>35</v>
      </c>
      <c r="C5" s="8" t="s">
        <v>36</v>
      </c>
      <c r="D5" s="8" t="s">
        <v>37</v>
      </c>
    </row>
    <row r="6">
      <c r="A6" s="8" t="s">
        <v>38</v>
      </c>
      <c r="B6" s="8" t="s">
        <v>39</v>
      </c>
      <c r="C6" s="8" t="s">
        <v>40</v>
      </c>
      <c r="D6" s="8" t="s">
        <v>41</v>
      </c>
    </row>
    <row r="7">
      <c r="A7" s="7" t="s">
        <v>42</v>
      </c>
      <c r="B7" s="8" t="s">
        <v>43</v>
      </c>
      <c r="C7" s="7" t="s">
        <v>44</v>
      </c>
      <c r="D7" s="7" t="s">
        <v>45</v>
      </c>
    </row>
    <row r="8">
      <c r="A8" s="8" t="s">
        <v>46</v>
      </c>
      <c r="B8" s="8" t="s">
        <v>47</v>
      </c>
      <c r="C8" s="8" t="s">
        <v>48</v>
      </c>
      <c r="D8" s="8" t="s">
        <v>49</v>
      </c>
    </row>
    <row r="9">
      <c r="A9" s="8" t="s">
        <v>50</v>
      </c>
      <c r="B9" s="8" t="s">
        <v>51</v>
      </c>
      <c r="C9" s="8" t="s">
        <v>52</v>
      </c>
      <c r="D9" s="8" t="s">
        <v>53</v>
      </c>
    </row>
    <row r="10">
      <c r="A10" s="8" t="s">
        <v>54</v>
      </c>
      <c r="B10" s="8" t="s">
        <v>55</v>
      </c>
      <c r="C10" s="8" t="s">
        <v>56</v>
      </c>
      <c r="D10" s="8" t="s">
        <v>57</v>
      </c>
    </row>
    <row r="11">
      <c r="A11" s="9"/>
      <c r="B11" s="9"/>
      <c r="C11" s="9"/>
      <c r="D11" s="9"/>
    </row>
    <row r="12">
      <c r="A12" s="9"/>
      <c r="B12" s="8"/>
      <c r="C12" s="9"/>
      <c r="D12" s="9"/>
    </row>
    <row r="13">
      <c r="A13" s="9"/>
      <c r="B13" s="9"/>
      <c r="C13" s="9"/>
      <c r="D13" s="9"/>
    </row>
    <row r="14">
      <c r="A14" s="9"/>
      <c r="B14" s="9"/>
      <c r="C14" s="9"/>
      <c r="D14" s="9"/>
    </row>
    <row r="15">
      <c r="A15" s="9"/>
      <c r="B15" s="9"/>
      <c r="C15" s="9"/>
      <c r="D15" s="9"/>
    </row>
    <row r="16">
      <c r="A16" s="9"/>
      <c r="B16" s="9"/>
      <c r="C16" s="9"/>
      <c r="D16" s="9"/>
    </row>
    <row r="17">
      <c r="A17" s="9"/>
      <c r="B17" s="9"/>
      <c r="C17" s="9"/>
      <c r="D17" s="9"/>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0"/>
      <c r="B1" s="10"/>
      <c r="C1" s="10" t="s">
        <v>58</v>
      </c>
      <c r="E1" s="10"/>
      <c r="F1" s="11"/>
      <c r="G1" s="11"/>
      <c r="H1" s="10"/>
    </row>
    <row r="2">
      <c r="A2" s="12" t="s">
        <v>59</v>
      </c>
      <c r="B2" s="12" t="s">
        <v>60</v>
      </c>
      <c r="C2" s="12" t="s">
        <v>61</v>
      </c>
      <c r="D2" s="12" t="s">
        <v>62</v>
      </c>
      <c r="E2" s="12" t="s">
        <v>63</v>
      </c>
      <c r="F2" s="13" t="s">
        <v>64</v>
      </c>
      <c r="G2" s="13" t="s">
        <v>65</v>
      </c>
      <c r="H2" s="12" t="s">
        <v>66</v>
      </c>
    </row>
    <row r="3">
      <c r="A3" s="14">
        <v>1.0</v>
      </c>
      <c r="B3" s="15">
        <v>45763.0</v>
      </c>
      <c r="C3" s="8"/>
      <c r="D3" s="8" t="s">
        <v>67</v>
      </c>
      <c r="E3" s="8" t="s">
        <v>68</v>
      </c>
      <c r="F3" s="8" t="s">
        <v>69</v>
      </c>
      <c r="G3" s="8" t="s">
        <v>24</v>
      </c>
      <c r="H3" s="16"/>
    </row>
    <row r="4">
      <c r="A4" s="14">
        <v>2.0</v>
      </c>
      <c r="B4" s="17">
        <f t="shared" ref="B4:B11" si="1">B3+7</f>
        <v>45770</v>
      </c>
      <c r="C4" s="8" t="s">
        <v>67</v>
      </c>
      <c r="D4" s="8" t="s">
        <v>43</v>
      </c>
      <c r="E4" s="8" t="s">
        <v>68</v>
      </c>
      <c r="F4" s="8" t="s">
        <v>32</v>
      </c>
      <c r="G4" s="8" t="s">
        <v>24</v>
      </c>
      <c r="H4" s="16"/>
    </row>
    <row r="5">
      <c r="A5" s="14">
        <v>3.0</v>
      </c>
      <c r="B5" s="17">
        <f t="shared" si="1"/>
        <v>45777</v>
      </c>
      <c r="C5" s="8" t="s">
        <v>43</v>
      </c>
      <c r="D5" s="8" t="s">
        <v>67</v>
      </c>
      <c r="E5" s="8" t="s">
        <v>68</v>
      </c>
      <c r="F5" s="8" t="s">
        <v>27</v>
      </c>
      <c r="G5" s="8" t="s">
        <v>24</v>
      </c>
      <c r="H5" s="16"/>
    </row>
    <row r="6">
      <c r="A6" s="14">
        <v>4.0</v>
      </c>
      <c r="B6" s="17">
        <f t="shared" si="1"/>
        <v>45784</v>
      </c>
      <c r="C6" s="8" t="s">
        <v>67</v>
      </c>
      <c r="D6" s="8" t="s">
        <v>43</v>
      </c>
      <c r="E6" s="8" t="s">
        <v>68</v>
      </c>
      <c r="F6" s="8" t="s">
        <v>70</v>
      </c>
      <c r="G6" s="8" t="s">
        <v>24</v>
      </c>
      <c r="H6" s="16"/>
    </row>
    <row r="7">
      <c r="A7" s="14">
        <v>5.0</v>
      </c>
      <c r="B7" s="17">
        <f t="shared" si="1"/>
        <v>45791</v>
      </c>
      <c r="C7" s="8" t="s">
        <v>43</v>
      </c>
      <c r="D7" s="8" t="s">
        <v>67</v>
      </c>
      <c r="E7" s="8" t="s">
        <v>68</v>
      </c>
      <c r="F7" s="8" t="s">
        <v>39</v>
      </c>
      <c r="G7" s="8" t="s">
        <v>24</v>
      </c>
      <c r="H7" s="16"/>
    </row>
    <row r="8">
      <c r="A8" s="14">
        <v>6.0</v>
      </c>
      <c r="B8" s="17">
        <f t="shared" si="1"/>
        <v>45798</v>
      </c>
      <c r="C8" s="8" t="s">
        <v>67</v>
      </c>
      <c r="D8" s="8" t="s">
        <v>43</v>
      </c>
      <c r="E8" s="8"/>
      <c r="F8" s="8" t="s">
        <v>55</v>
      </c>
      <c r="G8" s="8" t="s">
        <v>24</v>
      </c>
      <c r="H8" s="16"/>
    </row>
    <row r="9">
      <c r="A9" s="14">
        <v>7.0</v>
      </c>
      <c r="B9" s="17">
        <f t="shared" si="1"/>
        <v>45805</v>
      </c>
      <c r="C9" s="8" t="s">
        <v>43</v>
      </c>
      <c r="D9" s="8" t="s">
        <v>67</v>
      </c>
      <c r="E9" s="9"/>
      <c r="F9" s="8" t="s">
        <v>71</v>
      </c>
      <c r="G9" s="8" t="s">
        <v>72</v>
      </c>
      <c r="H9" s="18" t="s">
        <v>73</v>
      </c>
    </row>
    <row r="10">
      <c r="A10" s="14">
        <v>8.0</v>
      </c>
      <c r="B10" s="17">
        <f t="shared" si="1"/>
        <v>45812</v>
      </c>
      <c r="C10" s="8" t="s">
        <v>67</v>
      </c>
      <c r="D10" s="8" t="s">
        <v>43</v>
      </c>
      <c r="E10" s="9"/>
      <c r="F10" s="8" t="s">
        <v>39</v>
      </c>
      <c r="G10" s="8" t="s">
        <v>72</v>
      </c>
      <c r="H10" s="16"/>
    </row>
    <row r="11">
      <c r="A11" s="14">
        <v>9.0</v>
      </c>
      <c r="B11" s="17">
        <f t="shared" si="1"/>
        <v>45819</v>
      </c>
      <c r="C11" s="8" t="s">
        <v>43</v>
      </c>
      <c r="D11" s="8" t="s">
        <v>67</v>
      </c>
      <c r="E11" s="9"/>
      <c r="F11" s="8" t="s">
        <v>70</v>
      </c>
      <c r="G11" s="8" t="s">
        <v>72</v>
      </c>
      <c r="H11" s="16"/>
    </row>
    <row r="12">
      <c r="A12" s="14">
        <v>10.0</v>
      </c>
      <c r="B12" s="15">
        <v>45826.0</v>
      </c>
      <c r="C12" s="8" t="s">
        <v>67</v>
      </c>
      <c r="D12" s="8" t="s">
        <v>43</v>
      </c>
      <c r="E12" s="9"/>
      <c r="F12" s="8" t="s">
        <v>27</v>
      </c>
      <c r="G12" s="8" t="s">
        <v>72</v>
      </c>
      <c r="H12" s="16"/>
    </row>
    <row r="13">
      <c r="A13" s="14">
        <v>11.0</v>
      </c>
      <c r="B13" s="17">
        <f t="shared" ref="B13:B16" si="2">B12+7</f>
        <v>45833</v>
      </c>
      <c r="C13" s="8" t="s">
        <v>43</v>
      </c>
      <c r="D13" s="8" t="s">
        <v>67</v>
      </c>
      <c r="E13" s="9"/>
      <c r="F13" s="8" t="s">
        <v>55</v>
      </c>
      <c r="G13" s="8" t="s">
        <v>72</v>
      </c>
      <c r="H13" s="16"/>
    </row>
    <row r="14">
      <c r="A14" s="14">
        <v>12.0</v>
      </c>
      <c r="B14" s="17">
        <f t="shared" si="2"/>
        <v>45840</v>
      </c>
      <c r="C14" s="8" t="s">
        <v>67</v>
      </c>
      <c r="D14" s="8" t="s">
        <v>43</v>
      </c>
      <c r="E14" s="9"/>
      <c r="F14" s="8" t="s">
        <v>71</v>
      </c>
      <c r="G14" s="8" t="s">
        <v>72</v>
      </c>
      <c r="H14" s="16"/>
    </row>
    <row r="15">
      <c r="A15" s="14">
        <v>13.0</v>
      </c>
      <c r="B15" s="17">
        <f t="shared" si="2"/>
        <v>45847</v>
      </c>
      <c r="C15" s="8" t="s">
        <v>43</v>
      </c>
      <c r="D15" s="8" t="s">
        <v>67</v>
      </c>
      <c r="E15" s="9"/>
      <c r="F15" s="8" t="s">
        <v>39</v>
      </c>
      <c r="G15" s="8" t="s">
        <v>72</v>
      </c>
      <c r="H15" s="16"/>
    </row>
    <row r="16">
      <c r="A16" s="14">
        <v>14.0</v>
      </c>
      <c r="B16" s="17">
        <f t="shared" si="2"/>
        <v>45854</v>
      </c>
      <c r="C16" s="8" t="s">
        <v>67</v>
      </c>
      <c r="D16" s="8"/>
      <c r="E16" s="9"/>
      <c r="F16" s="8" t="s">
        <v>70</v>
      </c>
      <c r="G16" s="8" t="s">
        <v>72</v>
      </c>
      <c r="H16" s="18" t="s">
        <v>74</v>
      </c>
    </row>
    <row r="17">
      <c r="A17" s="14">
        <v>15.0</v>
      </c>
      <c r="B17" s="19" t="s">
        <v>75</v>
      </c>
      <c r="C17" s="8"/>
      <c r="D17" s="8"/>
      <c r="E17" s="9"/>
      <c r="F17" s="8"/>
      <c r="G17" s="8"/>
      <c r="H17" s="18"/>
    </row>
    <row r="18">
      <c r="A18" s="14"/>
      <c r="B18" s="20"/>
      <c r="C18" s="9"/>
      <c r="D18" s="9"/>
      <c r="E18" s="9"/>
      <c r="F18" s="9"/>
      <c r="G18" s="9"/>
      <c r="H18" s="21"/>
    </row>
    <row r="19">
      <c r="A19" s="18" t="s">
        <v>76</v>
      </c>
      <c r="B19" s="22"/>
      <c r="C19" s="23"/>
      <c r="D19" s="23"/>
      <c r="E19" s="23"/>
      <c r="F19" s="23"/>
      <c r="G19" s="23"/>
      <c r="H19" s="21"/>
    </row>
    <row r="20">
      <c r="A20" s="23"/>
      <c r="B20" s="20"/>
      <c r="C20" s="9"/>
      <c r="D20" s="9"/>
      <c r="E20" s="9"/>
      <c r="F20" s="9"/>
      <c r="G20" s="9"/>
      <c r="H20" s="21"/>
    </row>
    <row r="21">
      <c r="A21" s="14"/>
      <c r="B21" s="20"/>
      <c r="C21" s="9"/>
      <c r="D21" s="9"/>
      <c r="E21" s="9"/>
      <c r="F21" s="9"/>
      <c r="G21" s="9"/>
      <c r="H21" s="21"/>
    </row>
  </sheetData>
  <mergeCells count="1">
    <mergeCell ref="C1:D1"/>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2.75"/>
  <cols>
    <col customWidth="1" min="1" max="1" width="25.13"/>
    <col customWidth="1" min="2" max="2" width="100.13"/>
  </cols>
  <sheetData>
    <row r="1">
      <c r="A1" s="24" t="s">
        <v>77</v>
      </c>
      <c r="B1" s="25" t="s">
        <v>78</v>
      </c>
    </row>
    <row r="2">
      <c r="A2" s="24"/>
      <c r="B2" s="26" t="s">
        <v>79</v>
      </c>
    </row>
    <row r="3">
      <c r="A3" s="27"/>
      <c r="B3" s="28" t="s">
        <v>80</v>
      </c>
    </row>
    <row r="4">
      <c r="A4" s="27"/>
      <c r="B4" s="25" t="s">
        <v>81</v>
      </c>
    </row>
    <row r="5">
      <c r="A5" s="27"/>
      <c r="B5" s="25" t="s">
        <v>82</v>
      </c>
    </row>
    <row r="6">
      <c r="A6" s="27"/>
      <c r="B6" s="25"/>
    </row>
    <row r="7">
      <c r="A7" s="29" t="s">
        <v>83</v>
      </c>
      <c r="B7" s="25" t="s">
        <v>84</v>
      </c>
    </row>
    <row r="8">
      <c r="A8" s="27"/>
      <c r="B8" s="25" t="s">
        <v>85</v>
      </c>
    </row>
    <row r="9">
      <c r="A9" s="27"/>
      <c r="B9" s="25" t="s">
        <v>86</v>
      </c>
    </row>
    <row r="10">
      <c r="A10" s="27"/>
      <c r="B10" s="25" t="s">
        <v>87</v>
      </c>
    </row>
    <row r="11">
      <c r="A11" s="27"/>
      <c r="B11" s="25" t="s">
        <v>88</v>
      </c>
    </row>
    <row r="12">
      <c r="A12" s="27"/>
      <c r="B12" s="25"/>
    </row>
    <row r="13">
      <c r="A13" s="29" t="s">
        <v>89</v>
      </c>
      <c r="B13" s="26" t="s">
        <v>90</v>
      </c>
    </row>
    <row r="14">
      <c r="A14" s="29"/>
      <c r="B14" s="26" t="s">
        <v>91</v>
      </c>
    </row>
    <row r="15">
      <c r="A15" s="27"/>
      <c r="B15" s="28" t="s">
        <v>92</v>
      </c>
    </row>
    <row r="16">
      <c r="A16" s="27"/>
      <c r="B16" s="28" t="s">
        <v>93</v>
      </c>
    </row>
    <row r="17">
      <c r="A17" s="27"/>
      <c r="B17" s="28" t="s">
        <v>94</v>
      </c>
    </row>
    <row r="18">
      <c r="A18" s="27"/>
      <c r="B18" s="28" t="s">
        <v>95</v>
      </c>
    </row>
    <row r="19">
      <c r="A19" s="27"/>
      <c r="B19" s="28" t="s">
        <v>96</v>
      </c>
    </row>
    <row r="20">
      <c r="A20" s="27"/>
      <c r="B20" s="28" t="s">
        <v>97</v>
      </c>
    </row>
    <row r="21">
      <c r="A21" s="27"/>
      <c r="B21" s="28"/>
    </row>
    <row r="22">
      <c r="A22" s="29" t="s">
        <v>98</v>
      </c>
      <c r="B22" s="26" t="s">
        <v>99</v>
      </c>
    </row>
    <row r="23">
      <c r="A23" s="27"/>
      <c r="B23" s="25" t="s">
        <v>100</v>
      </c>
    </row>
    <row r="24">
      <c r="A24" s="27"/>
      <c r="B24" s="25" t="s">
        <v>101</v>
      </c>
    </row>
    <row r="25">
      <c r="A25" s="27"/>
      <c r="B25" s="25" t="s">
        <v>102</v>
      </c>
    </row>
    <row r="26">
      <c r="A26" s="27"/>
      <c r="B26" s="25"/>
    </row>
    <row r="27">
      <c r="A27" s="29" t="s">
        <v>103</v>
      </c>
      <c r="B27" s="26" t="s">
        <v>104</v>
      </c>
    </row>
    <row r="28">
      <c r="A28" s="29"/>
      <c r="B28" s="26" t="s">
        <v>105</v>
      </c>
    </row>
    <row r="29">
      <c r="A29" s="27"/>
      <c r="B29" s="28" t="s">
        <v>106</v>
      </c>
    </row>
    <row r="30">
      <c r="A30" s="27"/>
      <c r="B30" s="25" t="s">
        <v>107</v>
      </c>
    </row>
    <row r="31">
      <c r="A31" s="27"/>
      <c r="B31" s="25" t="s">
        <v>108</v>
      </c>
    </row>
    <row r="32">
      <c r="A32" s="27"/>
      <c r="B32" s="25" t="s">
        <v>109</v>
      </c>
    </row>
    <row r="33">
      <c r="A33" s="27"/>
      <c r="B33" s="25" t="s">
        <v>110</v>
      </c>
    </row>
    <row r="34">
      <c r="A34" s="27"/>
      <c r="B34" s="25" t="s">
        <v>111</v>
      </c>
    </row>
    <row r="35">
      <c r="A35" s="27"/>
      <c r="B35" s="25"/>
    </row>
    <row r="36">
      <c r="A36" s="29" t="s">
        <v>112</v>
      </c>
      <c r="B36" s="26" t="s">
        <v>113</v>
      </c>
    </row>
    <row r="37">
      <c r="A37" s="30"/>
      <c r="B37" s="25" t="s">
        <v>114</v>
      </c>
    </row>
    <row r="38">
      <c r="A38" s="30"/>
      <c r="B38" s="25" t="s">
        <v>115</v>
      </c>
    </row>
    <row r="39">
      <c r="A39" s="30"/>
      <c r="B39" s="30"/>
    </row>
    <row r="40">
      <c r="A40" s="29" t="s">
        <v>116</v>
      </c>
      <c r="B40" s="26" t="s">
        <v>117</v>
      </c>
    </row>
    <row r="41">
      <c r="A41" s="30"/>
      <c r="B41" s="25" t="s">
        <v>118</v>
      </c>
    </row>
    <row r="42">
      <c r="A42" s="30"/>
      <c r="B42" s="25"/>
    </row>
    <row r="43">
      <c r="A43" s="31" t="s">
        <v>119</v>
      </c>
      <c r="B43" s="32"/>
    </row>
    <row r="44">
      <c r="A44" s="31"/>
      <c r="B44" s="26" t="s">
        <v>120</v>
      </c>
    </row>
    <row r="45">
      <c r="A45" s="30"/>
      <c r="B45" s="30"/>
    </row>
    <row r="46">
      <c r="A46" s="31" t="s">
        <v>121</v>
      </c>
      <c r="B46" s="26"/>
    </row>
    <row r="47">
      <c r="A47" s="30"/>
      <c r="B47" s="25" t="s">
        <v>122</v>
      </c>
    </row>
    <row r="48">
      <c r="A48" s="30"/>
      <c r="B48" s="25" t="s">
        <v>123</v>
      </c>
    </row>
    <row r="49">
      <c r="A49" s="29" t="s">
        <v>124</v>
      </c>
      <c r="B49" s="31"/>
    </row>
    <row r="51">
      <c r="A51" s="33" t="s">
        <v>65</v>
      </c>
      <c r="B51" s="28" t="s">
        <v>125</v>
      </c>
    </row>
    <row r="52">
      <c r="A52" s="33" t="s">
        <v>126</v>
      </c>
      <c r="B52" s="28" t="s">
        <v>127</v>
      </c>
    </row>
    <row r="53">
      <c r="A53" s="33" t="s">
        <v>126</v>
      </c>
      <c r="B53" s="28" t="s">
        <v>128</v>
      </c>
    </row>
    <row r="54">
      <c r="A54" s="33" t="s">
        <v>129</v>
      </c>
      <c r="B54" s="28"/>
    </row>
    <row r="55">
      <c r="A55" s="33" t="s">
        <v>129</v>
      </c>
      <c r="B55" s="28" t="s">
        <v>130</v>
      </c>
    </row>
    <row r="56">
      <c r="A56" s="33" t="s">
        <v>129</v>
      </c>
      <c r="B56" s="28" t="s">
        <v>131</v>
      </c>
    </row>
    <row r="57">
      <c r="A57" s="33" t="s">
        <v>129</v>
      </c>
      <c r="B57" s="28" t="s">
        <v>132</v>
      </c>
    </row>
    <row r="58">
      <c r="A58" s="33" t="s">
        <v>129</v>
      </c>
      <c r="B58" s="28" t="s">
        <v>133</v>
      </c>
    </row>
    <row r="59">
      <c r="A59" s="33" t="s">
        <v>129</v>
      </c>
      <c r="B59" s="28" t="s">
        <v>134</v>
      </c>
    </row>
    <row r="60">
      <c r="A60" s="28" t="s">
        <v>129</v>
      </c>
      <c r="B60" s="28" t="s">
        <v>135</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4" t="s">
        <v>136</v>
      </c>
      <c r="B1" s="34" t="s">
        <v>137</v>
      </c>
    </row>
    <row r="2">
      <c r="A2" s="35"/>
      <c r="B2" s="36"/>
    </row>
    <row r="3">
      <c r="A3" s="37" t="s">
        <v>138</v>
      </c>
      <c r="B3" s="37" t="s">
        <v>139</v>
      </c>
    </row>
  </sheetData>
  <mergeCells count="2">
    <mergeCell ref="A3:A20"/>
    <mergeCell ref="B3:B20"/>
  </mergeCell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38" t="s">
        <v>140</v>
      </c>
      <c r="B1" s="38" t="s">
        <v>141</v>
      </c>
    </row>
    <row r="2">
      <c r="A2" s="2" t="s">
        <v>142</v>
      </c>
      <c r="B2" s="2" t="s">
        <v>143</v>
      </c>
    </row>
    <row r="3">
      <c r="A3" s="2" t="s">
        <v>144</v>
      </c>
      <c r="B3" s="28" t="s">
        <v>145</v>
      </c>
    </row>
    <row r="4">
      <c r="A4" s="28" t="s">
        <v>146</v>
      </c>
      <c r="B4" s="28" t="s">
        <v>147</v>
      </c>
    </row>
    <row r="5">
      <c r="A5" s="28" t="s">
        <v>148</v>
      </c>
      <c r="B5" s="28" t="s">
        <v>149</v>
      </c>
    </row>
    <row r="6">
      <c r="A6" s="28" t="s">
        <v>150</v>
      </c>
      <c r="B6" s="28" t="s">
        <v>151</v>
      </c>
    </row>
    <row r="7">
      <c r="A7" s="28" t="s">
        <v>152</v>
      </c>
      <c r="B7" s="28" t="s">
        <v>153</v>
      </c>
    </row>
    <row r="8">
      <c r="A8" s="28" t="s">
        <v>154</v>
      </c>
      <c r="B8" s="2" t="s">
        <v>155</v>
      </c>
    </row>
    <row r="9">
      <c r="A9" s="28" t="s">
        <v>156</v>
      </c>
      <c r="B9" s="28" t="s">
        <v>157</v>
      </c>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39" t="s">
        <v>158</v>
      </c>
      <c r="B1" s="4" t="s">
        <v>159</v>
      </c>
    </row>
    <row r="2">
      <c r="A2" s="40">
        <v>1.0</v>
      </c>
      <c r="B2" s="28" t="s">
        <v>160</v>
      </c>
    </row>
    <row r="3">
      <c r="A3" s="40">
        <f t="shared" ref="A3:A16" si="1">A2+1</f>
        <v>2</v>
      </c>
      <c r="B3" s="28" t="s">
        <v>160</v>
      </c>
    </row>
    <row r="4">
      <c r="A4" s="40">
        <f t="shared" si="1"/>
        <v>3</v>
      </c>
      <c r="B4" s="28" t="s">
        <v>160</v>
      </c>
    </row>
    <row r="5">
      <c r="A5" s="40">
        <f t="shared" si="1"/>
        <v>4</v>
      </c>
      <c r="B5" s="28" t="s">
        <v>160</v>
      </c>
    </row>
    <row r="6">
      <c r="A6" s="40">
        <f t="shared" si="1"/>
        <v>5</v>
      </c>
      <c r="B6" s="28" t="s">
        <v>161</v>
      </c>
    </row>
    <row r="7">
      <c r="A7" s="40">
        <f t="shared" si="1"/>
        <v>6</v>
      </c>
      <c r="B7" s="28" t="s">
        <v>162</v>
      </c>
    </row>
    <row r="8">
      <c r="A8" s="40">
        <f t="shared" si="1"/>
        <v>7</v>
      </c>
      <c r="B8" s="2" t="s">
        <v>163</v>
      </c>
    </row>
    <row r="9">
      <c r="A9" s="40">
        <f t="shared" si="1"/>
        <v>8</v>
      </c>
      <c r="B9" s="28" t="s">
        <v>164</v>
      </c>
    </row>
    <row r="10">
      <c r="A10" s="40">
        <f t="shared" si="1"/>
        <v>9</v>
      </c>
      <c r="B10" s="28" t="s">
        <v>165</v>
      </c>
    </row>
    <row r="11">
      <c r="A11" s="40">
        <f t="shared" si="1"/>
        <v>10</v>
      </c>
      <c r="B11" s="28" t="s">
        <v>166</v>
      </c>
    </row>
    <row r="12">
      <c r="A12" s="40">
        <f t="shared" si="1"/>
        <v>11</v>
      </c>
      <c r="B12" s="2" t="s">
        <v>167</v>
      </c>
    </row>
    <row r="13">
      <c r="A13" s="40">
        <f t="shared" si="1"/>
        <v>12</v>
      </c>
      <c r="B13" s="41" t="s">
        <v>168</v>
      </c>
    </row>
    <row r="14">
      <c r="A14" s="40">
        <f t="shared" si="1"/>
        <v>13</v>
      </c>
      <c r="B14" s="3"/>
    </row>
    <row r="15">
      <c r="A15" s="40">
        <f t="shared" si="1"/>
        <v>14</v>
      </c>
      <c r="B15" s="3"/>
    </row>
    <row r="16">
      <c r="A16" s="40">
        <f t="shared" si="1"/>
        <v>15</v>
      </c>
      <c r="B16" s="3"/>
    </row>
    <row r="17">
      <c r="A17" s="40"/>
      <c r="B17" s="3"/>
    </row>
    <row r="18">
      <c r="A18" s="40"/>
      <c r="B18" s="3"/>
    </row>
    <row r="19">
      <c r="A19" s="42"/>
      <c r="B19" s="3"/>
    </row>
    <row r="20">
      <c r="A20" s="42"/>
      <c r="B20" s="3"/>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 customWidth="1" min="3" max="3" width="11.63"/>
  </cols>
  <sheetData>
    <row r="1">
      <c r="A1" s="39" t="s">
        <v>158</v>
      </c>
      <c r="B1" s="4" t="s">
        <v>169</v>
      </c>
      <c r="C1" s="4" t="s">
        <v>170</v>
      </c>
    </row>
    <row r="2">
      <c r="A2" s="40">
        <v>1.0</v>
      </c>
      <c r="B2" s="2"/>
      <c r="C2" s="2"/>
    </row>
    <row r="3">
      <c r="A3" s="40">
        <f t="shared" ref="A3:A16" si="1">A2+1</f>
        <v>2</v>
      </c>
      <c r="B3" s="2">
        <f>SUM('Mid-Project Release plan'!F25:F28)</f>
        <v>11</v>
      </c>
      <c r="C3" s="43">
        <f t="shared" ref="C3:C4" si="2">AVERAGE(B2:B13)</f>
        <v>36.54545455</v>
      </c>
    </row>
    <row r="4">
      <c r="A4" s="40">
        <f t="shared" si="1"/>
        <v>3</v>
      </c>
      <c r="B4" s="2">
        <f>SUM('Mid-Project Release plan'!F30:F41)</f>
        <v>39</v>
      </c>
      <c r="C4" s="43">
        <f t="shared" si="2"/>
        <v>36.54545455</v>
      </c>
    </row>
    <row r="5">
      <c r="A5" s="40">
        <f t="shared" si="1"/>
        <v>4</v>
      </c>
      <c r="B5" s="2">
        <f>SUM('Mid-Project Release plan'!F42:F49)</f>
        <v>37</v>
      </c>
      <c r="C5" s="43">
        <v>36.54545454545455</v>
      </c>
    </row>
    <row r="6">
      <c r="A6" s="40">
        <f t="shared" si="1"/>
        <v>5</v>
      </c>
      <c r="B6" s="2">
        <f>SUM('Mid-Project Release plan'!F50:F54)</f>
        <v>37</v>
      </c>
      <c r="C6" s="43">
        <v>36.54545454545455</v>
      </c>
    </row>
    <row r="7">
      <c r="A7" s="40">
        <f t="shared" si="1"/>
        <v>6</v>
      </c>
      <c r="B7" s="2">
        <f>SUM('Mid-Project Release plan'!F55:F66)</f>
        <v>57</v>
      </c>
      <c r="C7" s="43">
        <v>36.54545454545455</v>
      </c>
    </row>
    <row r="8">
      <c r="A8" s="40">
        <f t="shared" si="1"/>
        <v>7</v>
      </c>
      <c r="B8" s="2">
        <f>SUM('Final Project Release plan'!F20:F28)</f>
        <v>44</v>
      </c>
      <c r="C8" s="43">
        <v>36.54545454545455</v>
      </c>
    </row>
    <row r="9">
      <c r="A9" s="40">
        <f t="shared" si="1"/>
        <v>8</v>
      </c>
      <c r="B9" s="2">
        <v>34.0</v>
      </c>
      <c r="C9" s="43">
        <v>36.54545454545455</v>
      </c>
    </row>
    <row r="10">
      <c r="A10" s="40">
        <f t="shared" si="1"/>
        <v>9</v>
      </c>
      <c r="B10" s="3">
        <f>SUM('Final Project Release plan'!F38:F45)</f>
        <v>32</v>
      </c>
      <c r="C10" s="43">
        <v>36.54545454545455</v>
      </c>
    </row>
    <row r="11">
      <c r="A11" s="40">
        <f t="shared" si="1"/>
        <v>10</v>
      </c>
      <c r="B11" s="2">
        <v>34.0</v>
      </c>
      <c r="C11" s="43">
        <v>36.54545454545455</v>
      </c>
    </row>
    <row r="12">
      <c r="A12" s="40">
        <f t="shared" si="1"/>
        <v>11</v>
      </c>
      <c r="B12" s="2">
        <v>38.0</v>
      </c>
      <c r="C12" s="43">
        <v>36.54545454545455</v>
      </c>
    </row>
    <row r="13">
      <c r="A13" s="40">
        <f t="shared" si="1"/>
        <v>12</v>
      </c>
      <c r="B13" s="2">
        <v>39.0</v>
      </c>
      <c r="C13" s="43">
        <v>36.54545454545455</v>
      </c>
    </row>
    <row r="14">
      <c r="A14" s="40">
        <f t="shared" si="1"/>
        <v>13</v>
      </c>
      <c r="B14" s="3"/>
      <c r="C14" s="3"/>
    </row>
    <row r="15">
      <c r="A15" s="40">
        <f t="shared" si="1"/>
        <v>14</v>
      </c>
      <c r="B15" s="3"/>
      <c r="C15" s="3"/>
    </row>
    <row r="16">
      <c r="A16" s="40">
        <f t="shared" si="1"/>
        <v>15</v>
      </c>
      <c r="B16" s="3"/>
      <c r="C16" s="3"/>
    </row>
    <row r="17">
      <c r="A17" s="40"/>
      <c r="C17" s="3"/>
    </row>
    <row r="18">
      <c r="A18" s="40"/>
      <c r="B18" s="44" t="s">
        <v>171</v>
      </c>
      <c r="C18" s="44"/>
    </row>
    <row r="19">
      <c r="A19" s="42"/>
      <c r="B19" s="3"/>
      <c r="C19" s="3"/>
    </row>
    <row r="20">
      <c r="A20" s="42"/>
      <c r="B20" s="3"/>
      <c r="C20" s="3"/>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47.63"/>
    <col customWidth="1" min="3" max="3" width="62.63"/>
    <col customWidth="1" min="4" max="13" width="15.75"/>
  </cols>
  <sheetData>
    <row r="1">
      <c r="A1" s="45" t="s">
        <v>172</v>
      </c>
      <c r="B1" s="46" t="s">
        <v>173</v>
      </c>
      <c r="C1" s="47" t="s">
        <v>174</v>
      </c>
      <c r="D1" s="48" t="s">
        <v>175</v>
      </c>
      <c r="E1" s="48" t="s">
        <v>176</v>
      </c>
      <c r="F1" s="48" t="s">
        <v>177</v>
      </c>
      <c r="G1" s="48" t="s">
        <v>178</v>
      </c>
      <c r="H1" s="48"/>
      <c r="I1" s="48"/>
      <c r="J1" s="48"/>
      <c r="K1" s="48"/>
      <c r="L1" s="48"/>
      <c r="M1" s="48"/>
    </row>
    <row r="2">
      <c r="A2" s="49"/>
      <c r="B2" s="50"/>
      <c r="C2" s="32"/>
      <c r="D2" s="32"/>
      <c r="E2" s="32"/>
      <c r="F2" s="32"/>
      <c r="G2" s="32"/>
      <c r="H2" s="32"/>
      <c r="I2" s="32"/>
      <c r="J2" s="32"/>
      <c r="K2" s="32"/>
      <c r="L2" s="32"/>
      <c r="M2" s="32"/>
    </row>
    <row r="3">
      <c r="A3" s="51" t="s">
        <v>179</v>
      </c>
      <c r="B3" s="52"/>
      <c r="C3" s="53"/>
      <c r="D3" s="53"/>
      <c r="E3" s="53"/>
      <c r="F3" s="53"/>
      <c r="G3" s="53"/>
      <c r="H3" s="53"/>
      <c r="I3" s="53"/>
      <c r="J3" s="53"/>
      <c r="K3" s="53"/>
      <c r="L3" s="53"/>
      <c r="M3" s="53"/>
    </row>
    <row r="4">
      <c r="A4" s="49"/>
      <c r="B4" s="50"/>
      <c r="C4" s="32"/>
      <c r="D4" s="32"/>
      <c r="E4" s="32"/>
      <c r="F4" s="32"/>
      <c r="G4" s="32"/>
      <c r="H4" s="32"/>
      <c r="I4" s="32"/>
      <c r="J4" s="32"/>
      <c r="K4" s="32"/>
      <c r="L4" s="32"/>
      <c r="M4" s="32"/>
    </row>
    <row r="5">
      <c r="A5" s="54" t="s">
        <v>180</v>
      </c>
      <c r="B5" s="55"/>
      <c r="C5" s="30"/>
      <c r="D5" s="56">
        <f>sum(D8:D16)</f>
        <v>170</v>
      </c>
      <c r="E5" s="56">
        <f>D5</f>
        <v>170</v>
      </c>
      <c r="F5" s="30"/>
      <c r="G5" s="30"/>
      <c r="H5" s="30"/>
      <c r="I5" s="30"/>
      <c r="J5" s="30"/>
      <c r="K5" s="30"/>
      <c r="L5" s="30"/>
      <c r="M5" s="30"/>
    </row>
    <row r="6">
      <c r="A6" s="49"/>
      <c r="B6" s="50"/>
      <c r="C6" s="32"/>
      <c r="D6" s="32"/>
      <c r="E6" s="32"/>
      <c r="F6" s="32"/>
      <c r="G6" s="32"/>
      <c r="H6" s="32"/>
      <c r="I6" s="32"/>
      <c r="J6" s="32"/>
      <c r="K6" s="32"/>
      <c r="L6" s="32"/>
      <c r="M6" s="32"/>
    </row>
    <row r="7">
      <c r="A7" s="57" t="s">
        <v>172</v>
      </c>
      <c r="B7" s="58"/>
      <c r="C7" s="59"/>
      <c r="D7" s="59"/>
      <c r="E7" s="59"/>
      <c r="F7" s="59"/>
      <c r="G7" s="59"/>
      <c r="H7" s="59"/>
      <c r="I7" s="59"/>
      <c r="J7" s="59"/>
      <c r="K7" s="59"/>
      <c r="L7" s="59"/>
      <c r="M7" s="59"/>
    </row>
    <row r="8">
      <c r="A8" s="49"/>
      <c r="B8" s="50"/>
      <c r="C8" s="32"/>
      <c r="D8" s="32"/>
      <c r="E8" s="60" t="s">
        <v>181</v>
      </c>
      <c r="F8" s="32"/>
      <c r="G8" s="60" t="s">
        <v>182</v>
      </c>
      <c r="H8" s="60"/>
      <c r="I8" s="60"/>
      <c r="J8" s="60"/>
      <c r="K8" s="60"/>
      <c r="L8" s="60"/>
      <c r="M8" s="60"/>
    </row>
    <row r="9">
      <c r="A9" s="61">
        <v>1.0</v>
      </c>
      <c r="B9" s="28" t="s">
        <v>183</v>
      </c>
      <c r="D9" s="56">
        <f>sum(D19:D24)</f>
        <v>0</v>
      </c>
      <c r="E9" s="56">
        <f>$D$5</f>
        <v>170</v>
      </c>
      <c r="F9" s="56">
        <f>sum(F19:F24)</f>
        <v>0</v>
      </c>
      <c r="G9" s="56">
        <f>$D$5</f>
        <v>170</v>
      </c>
      <c r="H9" s="56"/>
      <c r="I9" s="56"/>
      <c r="J9" s="56"/>
      <c r="K9" s="56"/>
      <c r="L9" s="56"/>
      <c r="M9" s="56"/>
    </row>
    <row r="10">
      <c r="A10" s="49">
        <f t="shared" ref="A10:A11" si="1">A9+1</f>
        <v>2</v>
      </c>
      <c r="B10" s="28" t="s">
        <v>184</v>
      </c>
      <c r="C10" s="32"/>
      <c r="D10" s="62">
        <f>sum(D25:D29)</f>
        <v>14</v>
      </c>
      <c r="E10" s="62">
        <f t="shared" ref="E10:E14" si="2">E9-D9</f>
        <v>170</v>
      </c>
      <c r="F10" s="62">
        <f>sum(F25:F29)</f>
        <v>11</v>
      </c>
      <c r="G10" s="62">
        <f t="shared" ref="G10:G14" si="3">G9-F9</f>
        <v>170</v>
      </c>
      <c r="H10" s="62"/>
      <c r="I10" s="62"/>
      <c r="J10" s="62"/>
      <c r="K10" s="62"/>
      <c r="L10" s="62"/>
      <c r="M10" s="62"/>
    </row>
    <row r="11">
      <c r="A11" s="61">
        <f t="shared" si="1"/>
        <v>3</v>
      </c>
      <c r="B11" s="28" t="s">
        <v>185</v>
      </c>
      <c r="C11" s="30"/>
      <c r="D11" s="56">
        <f>sum(D30:D41)</f>
        <v>44</v>
      </c>
      <c r="E11" s="56">
        <f t="shared" si="2"/>
        <v>156</v>
      </c>
      <c r="F11" s="56">
        <f>sum(F30:F41)</f>
        <v>39</v>
      </c>
      <c r="G11" s="56">
        <f t="shared" si="3"/>
        <v>159</v>
      </c>
      <c r="H11" s="56"/>
      <c r="I11" s="56"/>
      <c r="J11" s="56"/>
      <c r="K11" s="56"/>
      <c r="L11" s="56"/>
      <c r="M11" s="56"/>
    </row>
    <row r="12">
      <c r="A12" s="63">
        <v>4.0</v>
      </c>
      <c r="B12" s="28" t="s">
        <v>186</v>
      </c>
      <c r="C12" s="32"/>
      <c r="D12" s="32">
        <f>sum(D42:D49)</f>
        <v>33</v>
      </c>
      <c r="E12" s="32">
        <f t="shared" si="2"/>
        <v>112</v>
      </c>
      <c r="F12" s="32">
        <f>sum(F42:F49)</f>
        <v>37</v>
      </c>
      <c r="G12" s="32">
        <f t="shared" si="3"/>
        <v>120</v>
      </c>
      <c r="H12" s="32"/>
      <c r="I12" s="32"/>
      <c r="J12" s="32"/>
      <c r="K12" s="32"/>
      <c r="L12" s="32"/>
      <c r="M12" s="32"/>
    </row>
    <row r="13">
      <c r="A13" s="61">
        <v>5.0</v>
      </c>
      <c r="B13" s="28" t="s">
        <v>161</v>
      </c>
      <c r="C13" s="30"/>
      <c r="D13" s="56">
        <f>sum(D50:D54)</f>
        <v>29</v>
      </c>
      <c r="E13" s="56">
        <f t="shared" si="2"/>
        <v>79</v>
      </c>
      <c r="F13" s="56">
        <f>sum(F50:F54)</f>
        <v>37</v>
      </c>
      <c r="G13" s="30">
        <f t="shared" si="3"/>
        <v>83</v>
      </c>
      <c r="H13" s="30"/>
      <c r="I13" s="30"/>
      <c r="J13" s="30"/>
      <c r="K13" s="30"/>
      <c r="L13" s="30"/>
      <c r="M13" s="30"/>
    </row>
    <row r="14">
      <c r="A14" s="63">
        <v>6.0</v>
      </c>
      <c r="B14" s="28" t="s">
        <v>162</v>
      </c>
      <c r="C14" s="32"/>
      <c r="D14" s="32">
        <f>sum(D55:D65)</f>
        <v>50</v>
      </c>
      <c r="E14" s="32">
        <f t="shared" si="2"/>
        <v>50</v>
      </c>
      <c r="F14" s="32">
        <f>sum(F56:F59)</f>
        <v>29</v>
      </c>
      <c r="G14" s="32">
        <f t="shared" si="3"/>
        <v>46</v>
      </c>
      <c r="H14" s="32"/>
      <c r="I14" s="32"/>
      <c r="J14" s="32"/>
      <c r="K14" s="32"/>
      <c r="L14" s="32"/>
      <c r="M14" s="32"/>
    </row>
    <row r="15">
      <c r="A15" s="64">
        <v>7.0</v>
      </c>
      <c r="B15" s="28" t="s">
        <v>187</v>
      </c>
      <c r="C15" s="30"/>
      <c r="D15" s="25"/>
      <c r="E15" s="30"/>
      <c r="F15" s="30"/>
      <c r="G15" s="30"/>
      <c r="H15" s="30"/>
      <c r="I15" s="30"/>
      <c r="J15" s="30"/>
      <c r="K15" s="30"/>
      <c r="L15" s="30"/>
      <c r="M15" s="30"/>
    </row>
    <row r="16">
      <c r="A16" s="65"/>
      <c r="B16" s="66"/>
      <c r="C16" s="32"/>
      <c r="D16" s="32"/>
      <c r="E16" s="32"/>
      <c r="F16" s="32"/>
      <c r="G16" s="32"/>
      <c r="H16" s="32"/>
      <c r="I16" s="32"/>
      <c r="J16" s="32"/>
      <c r="K16" s="32"/>
      <c r="L16" s="32"/>
      <c r="M16" s="32"/>
    </row>
    <row r="17">
      <c r="A17" s="67" t="s">
        <v>188</v>
      </c>
      <c r="B17" s="68"/>
      <c r="C17" s="32"/>
      <c r="D17" s="32"/>
      <c r="E17" s="32"/>
      <c r="F17" s="32"/>
      <c r="G17" s="32"/>
      <c r="H17" s="32"/>
      <c r="I17" s="32"/>
      <c r="J17" s="32"/>
      <c r="K17" s="32"/>
      <c r="L17" s="32"/>
      <c r="M17" s="32"/>
    </row>
    <row r="18">
      <c r="A18" s="65"/>
      <c r="B18" s="66"/>
      <c r="C18" s="32"/>
      <c r="D18" s="36"/>
      <c r="E18" s="32"/>
      <c r="F18" s="32"/>
      <c r="G18" s="32"/>
      <c r="H18" s="32"/>
      <c r="I18" s="32"/>
      <c r="J18" s="32"/>
      <c r="K18" s="32"/>
      <c r="L18" s="32"/>
      <c r="M18" s="32"/>
    </row>
    <row r="19">
      <c r="A19" s="69">
        <f>A9</f>
        <v>1</v>
      </c>
      <c r="B19" s="41" t="s">
        <v>183</v>
      </c>
      <c r="C19" s="41" t="s">
        <v>160</v>
      </c>
      <c r="D19" s="41"/>
      <c r="E19" s="30"/>
      <c r="F19" s="30"/>
      <c r="G19" s="30"/>
      <c r="H19" s="30"/>
      <c r="I19" s="30"/>
      <c r="J19" s="30"/>
      <c r="K19" s="30"/>
      <c r="L19" s="30"/>
      <c r="M19" s="30"/>
    </row>
    <row r="20">
      <c r="A20" s="65"/>
      <c r="B20" s="70"/>
      <c r="C20" s="35"/>
      <c r="D20" s="36"/>
      <c r="E20" s="35"/>
      <c r="F20" s="35"/>
      <c r="G20" s="32"/>
      <c r="H20" s="32"/>
      <c r="I20" s="32"/>
      <c r="J20" s="32"/>
      <c r="K20" s="32"/>
      <c r="L20" s="32"/>
      <c r="M20" s="32"/>
    </row>
    <row r="21">
      <c r="A21" s="49"/>
      <c r="B21" s="50"/>
      <c r="C21" s="35"/>
      <c r="D21" s="36"/>
      <c r="E21" s="35"/>
      <c r="F21" s="35"/>
      <c r="G21" s="50"/>
      <c r="H21" s="50"/>
      <c r="I21" s="50"/>
      <c r="J21" s="50"/>
      <c r="K21" s="50"/>
      <c r="L21" s="50"/>
      <c r="M21" s="50"/>
    </row>
    <row r="22">
      <c r="A22" s="65"/>
      <c r="B22" s="70"/>
      <c r="C22" s="35"/>
      <c r="D22" s="36"/>
      <c r="E22" s="35"/>
      <c r="F22" s="35"/>
      <c r="G22" s="32"/>
      <c r="H22" s="32"/>
      <c r="I22" s="32"/>
      <c r="J22" s="32"/>
      <c r="K22" s="32"/>
      <c r="L22" s="32"/>
      <c r="M22" s="32"/>
    </row>
    <row r="23">
      <c r="A23" s="65"/>
      <c r="B23" s="70"/>
      <c r="C23" s="35"/>
      <c r="D23" s="36"/>
      <c r="E23" s="36"/>
      <c r="F23" s="35"/>
      <c r="G23" s="70"/>
      <c r="H23" s="70"/>
      <c r="I23" s="70"/>
      <c r="J23" s="70"/>
      <c r="K23" s="70"/>
      <c r="L23" s="70"/>
      <c r="M23" s="70"/>
    </row>
    <row r="24">
      <c r="A24" s="65"/>
      <c r="B24" s="70"/>
      <c r="C24" s="35"/>
      <c r="D24" s="36"/>
      <c r="E24" s="36"/>
      <c r="F24" s="35"/>
      <c r="G24" s="36"/>
      <c r="H24" s="36"/>
      <c r="I24" s="36"/>
      <c r="J24" s="36"/>
      <c r="K24" s="36"/>
      <c r="L24" s="36"/>
      <c r="M24" s="36"/>
    </row>
    <row r="25">
      <c r="A25" s="71">
        <f>A10</f>
        <v>2</v>
      </c>
      <c r="B25" s="41" t="s">
        <v>184</v>
      </c>
      <c r="C25" s="41" t="s">
        <v>189</v>
      </c>
      <c r="D25" s="41">
        <v>2.0</v>
      </c>
      <c r="E25" s="41"/>
      <c r="F25" s="72">
        <v>3.0</v>
      </c>
      <c r="G25" s="41"/>
      <c r="H25" s="41"/>
      <c r="I25" s="41"/>
      <c r="J25" s="41"/>
      <c r="K25" s="41"/>
      <c r="L25" s="41"/>
      <c r="M25" s="41"/>
    </row>
    <row r="26">
      <c r="A26" s="70"/>
      <c r="B26" s="70"/>
      <c r="C26" s="70" t="s">
        <v>190</v>
      </c>
      <c r="D26" s="36">
        <v>5.0</v>
      </c>
      <c r="E26" s="36"/>
      <c r="F26" s="35">
        <v>3.0</v>
      </c>
      <c r="G26" s="36"/>
      <c r="H26" s="36"/>
      <c r="I26" s="36"/>
      <c r="J26" s="36"/>
      <c r="K26" s="36"/>
      <c r="L26" s="36"/>
      <c r="M26" s="36"/>
    </row>
    <row r="27">
      <c r="A27" s="36"/>
      <c r="B27" s="36"/>
      <c r="C27" s="36" t="s">
        <v>191</v>
      </c>
      <c r="D27" s="36">
        <v>5.0</v>
      </c>
      <c r="E27" s="36"/>
      <c r="F27" s="35">
        <v>3.0</v>
      </c>
      <c r="G27" s="73"/>
      <c r="H27" s="36"/>
      <c r="I27" s="36"/>
      <c r="J27" s="36"/>
      <c r="K27" s="32"/>
      <c r="L27" s="32"/>
      <c r="M27" s="32"/>
    </row>
    <row r="28">
      <c r="A28" s="36"/>
      <c r="B28" s="36"/>
      <c r="C28" s="36" t="s">
        <v>192</v>
      </c>
      <c r="D28" s="36">
        <v>2.0</v>
      </c>
      <c r="E28" s="36"/>
      <c r="F28" s="35">
        <v>2.0</v>
      </c>
      <c r="G28" s="65"/>
      <c r="H28" s="70"/>
      <c r="I28" s="35"/>
      <c r="J28" s="36"/>
      <c r="K28" s="35"/>
      <c r="L28" s="35"/>
      <c r="M28" s="32"/>
    </row>
    <row r="29">
      <c r="A29" s="36"/>
      <c r="B29" s="36"/>
      <c r="C29" s="36"/>
      <c r="D29" s="36"/>
      <c r="E29" s="36"/>
      <c r="F29" s="35"/>
      <c r="G29" s="49"/>
      <c r="H29" s="50"/>
      <c r="I29" s="35"/>
      <c r="J29" s="36"/>
      <c r="K29" s="35"/>
      <c r="L29" s="35"/>
      <c r="M29" s="50"/>
    </row>
    <row r="30">
      <c r="A30" s="71">
        <f>A11</f>
        <v>3</v>
      </c>
      <c r="B30" s="41" t="s">
        <v>185</v>
      </c>
      <c r="C30" s="41" t="s">
        <v>193</v>
      </c>
      <c r="D30" s="41">
        <v>8.0</v>
      </c>
      <c r="E30" s="41"/>
      <c r="F30" s="41">
        <v>8.0</v>
      </c>
      <c r="G30" s="61"/>
      <c r="H30" s="74"/>
      <c r="I30" s="72"/>
      <c r="J30" s="41"/>
      <c r="K30" s="72"/>
      <c r="L30" s="72"/>
      <c r="M30" s="30"/>
    </row>
    <row r="31">
      <c r="A31" s="70"/>
      <c r="B31" s="70"/>
      <c r="C31" s="70" t="s">
        <v>194</v>
      </c>
      <c r="D31" s="36">
        <v>8.0</v>
      </c>
      <c r="E31" s="36"/>
      <c r="F31" s="35">
        <v>5.0</v>
      </c>
      <c r="G31" s="65"/>
      <c r="H31" s="70"/>
      <c r="I31" s="35"/>
      <c r="J31" s="36"/>
      <c r="K31" s="36"/>
      <c r="L31" s="35"/>
      <c r="M31" s="70"/>
    </row>
    <row r="32">
      <c r="A32" s="65"/>
      <c r="B32" s="70"/>
      <c r="C32" s="36" t="s">
        <v>195</v>
      </c>
      <c r="D32" s="36">
        <v>1.0</v>
      </c>
      <c r="E32" s="36"/>
      <c r="F32" s="35">
        <v>1.0</v>
      </c>
      <c r="G32" s="65"/>
      <c r="H32" s="70"/>
      <c r="I32" s="35"/>
      <c r="J32" s="36"/>
      <c r="K32" s="36"/>
      <c r="L32" s="35"/>
      <c r="M32" s="36"/>
    </row>
    <row r="33">
      <c r="A33" s="65"/>
      <c r="B33" s="70"/>
      <c r="C33" s="36" t="s">
        <v>196</v>
      </c>
      <c r="D33" s="36">
        <v>1.0</v>
      </c>
      <c r="E33" s="36"/>
      <c r="F33" s="35">
        <v>1.0</v>
      </c>
      <c r="G33" s="75"/>
      <c r="H33" s="36"/>
      <c r="I33" s="36"/>
      <c r="J33" s="36"/>
      <c r="K33" s="36"/>
      <c r="L33" s="35"/>
      <c r="M33" s="36"/>
    </row>
    <row r="34">
      <c r="A34" s="65"/>
      <c r="B34" s="70"/>
      <c r="C34" s="36" t="s">
        <v>197</v>
      </c>
      <c r="D34" s="36">
        <v>1.0</v>
      </c>
      <c r="E34" s="36"/>
      <c r="F34" s="35">
        <v>1.0</v>
      </c>
      <c r="G34" s="70"/>
      <c r="H34" s="70"/>
      <c r="I34" s="70"/>
      <c r="J34" s="36"/>
      <c r="K34" s="36"/>
      <c r="L34" s="35"/>
      <c r="M34" s="36"/>
    </row>
    <row r="35">
      <c r="A35" s="65"/>
      <c r="B35" s="70"/>
      <c r="C35" s="36" t="s">
        <v>198</v>
      </c>
      <c r="D35" s="36">
        <v>3.0</v>
      </c>
      <c r="E35" s="36"/>
      <c r="F35" s="35">
        <v>3.0</v>
      </c>
      <c r="G35" s="36"/>
      <c r="H35" s="36"/>
      <c r="I35" s="36"/>
      <c r="J35" s="36"/>
      <c r="K35" s="36"/>
      <c r="L35" s="35"/>
      <c r="M35" s="36"/>
    </row>
    <row r="36">
      <c r="A36" s="65"/>
      <c r="B36" s="70"/>
      <c r="C36" s="36" t="s">
        <v>199</v>
      </c>
      <c r="D36" s="36">
        <v>3.0</v>
      </c>
      <c r="E36" s="36"/>
      <c r="F36" s="36">
        <v>3.0</v>
      </c>
      <c r="G36" s="36"/>
      <c r="H36" s="36"/>
      <c r="I36" s="36"/>
      <c r="J36" s="36"/>
      <c r="K36" s="36"/>
      <c r="L36" s="35"/>
      <c r="M36" s="36"/>
    </row>
    <row r="37">
      <c r="A37" s="65"/>
      <c r="B37" s="70"/>
      <c r="C37" s="36" t="s">
        <v>200</v>
      </c>
      <c r="D37" s="36">
        <v>3.0</v>
      </c>
      <c r="E37" s="36"/>
      <c r="F37" s="35">
        <v>3.0</v>
      </c>
      <c r="G37" s="36"/>
      <c r="H37" s="36"/>
      <c r="I37" s="36"/>
      <c r="J37" s="36"/>
      <c r="K37" s="36"/>
      <c r="L37" s="35"/>
      <c r="M37" s="36"/>
    </row>
    <row r="38">
      <c r="A38" s="65"/>
      <c r="B38" s="70"/>
      <c r="C38" s="36" t="s">
        <v>201</v>
      </c>
      <c r="D38" s="36">
        <v>3.0</v>
      </c>
      <c r="E38" s="36"/>
      <c r="F38" s="35">
        <v>3.0</v>
      </c>
      <c r="G38" s="75"/>
      <c r="H38" s="36"/>
      <c r="I38" s="36"/>
      <c r="J38" s="36"/>
      <c r="K38" s="36"/>
      <c r="L38" s="36"/>
      <c r="M38" s="36"/>
    </row>
    <row r="39">
      <c r="A39" s="65"/>
      <c r="B39" s="70"/>
      <c r="C39" s="36" t="s">
        <v>202</v>
      </c>
      <c r="D39" s="36">
        <v>5.0</v>
      </c>
      <c r="E39" s="36"/>
      <c r="F39" s="35">
        <v>3.0</v>
      </c>
      <c r="G39" s="36"/>
      <c r="H39" s="36"/>
      <c r="I39" s="36"/>
      <c r="J39" s="36"/>
      <c r="K39" s="36"/>
      <c r="L39" s="36"/>
      <c r="M39" s="36"/>
    </row>
    <row r="40">
      <c r="A40" s="65"/>
      <c r="B40" s="70"/>
      <c r="C40" s="36" t="s">
        <v>203</v>
      </c>
      <c r="D40" s="36">
        <v>3.0</v>
      </c>
      <c r="E40" s="36"/>
      <c r="F40" s="35">
        <v>3.0</v>
      </c>
      <c r="G40" s="36"/>
      <c r="H40" s="36"/>
      <c r="I40" s="36"/>
      <c r="J40" s="36"/>
      <c r="K40" s="36"/>
      <c r="L40" s="36"/>
      <c r="M40" s="36"/>
    </row>
    <row r="41">
      <c r="A41" s="65"/>
      <c r="B41" s="70"/>
      <c r="C41" s="36" t="s">
        <v>204</v>
      </c>
      <c r="D41" s="36">
        <v>5.0</v>
      </c>
      <c r="E41" s="36"/>
      <c r="F41" s="35">
        <v>5.0</v>
      </c>
      <c r="G41" s="36"/>
      <c r="H41" s="36"/>
      <c r="I41" s="36"/>
      <c r="J41" s="36"/>
      <c r="K41" s="36"/>
      <c r="L41" s="36"/>
      <c r="M41" s="36"/>
    </row>
    <row r="42">
      <c r="A42" s="71">
        <v>4.0</v>
      </c>
      <c r="B42" s="41" t="s">
        <v>186</v>
      </c>
      <c r="C42" s="41" t="s">
        <v>205</v>
      </c>
      <c r="D42" s="41">
        <v>2.0</v>
      </c>
      <c r="E42" s="41"/>
      <c r="F42" s="72">
        <v>3.0</v>
      </c>
      <c r="G42" s="41"/>
      <c r="H42" s="41"/>
      <c r="I42" s="41"/>
      <c r="J42" s="41"/>
      <c r="K42" s="41"/>
      <c r="L42" s="41"/>
      <c r="M42" s="41"/>
    </row>
    <row r="43">
      <c r="A43" s="65"/>
      <c r="B43" s="70"/>
      <c r="C43" s="36" t="s">
        <v>206</v>
      </c>
      <c r="D43" s="36">
        <v>3.0</v>
      </c>
      <c r="E43" s="36"/>
      <c r="F43" s="35">
        <v>5.0</v>
      </c>
      <c r="G43" s="36"/>
      <c r="H43" s="36"/>
      <c r="I43" s="36"/>
      <c r="J43" s="36"/>
      <c r="K43" s="36"/>
      <c r="L43" s="36"/>
      <c r="M43" s="36"/>
    </row>
    <row r="44">
      <c r="A44" s="65"/>
      <c r="B44" s="70"/>
      <c r="C44" s="36" t="s">
        <v>207</v>
      </c>
      <c r="D44" s="36">
        <v>3.0</v>
      </c>
      <c r="E44" s="36"/>
      <c r="F44" s="35">
        <v>3.0</v>
      </c>
      <c r="G44" s="36"/>
      <c r="H44" s="36"/>
      <c r="I44" s="36"/>
      <c r="J44" s="36"/>
      <c r="K44" s="36"/>
      <c r="L44" s="36"/>
      <c r="M44" s="36"/>
    </row>
    <row r="45">
      <c r="A45" s="65"/>
      <c r="B45" s="70"/>
      <c r="C45" s="36" t="s">
        <v>208</v>
      </c>
      <c r="D45" s="36">
        <v>8.0</v>
      </c>
      <c r="E45" s="36"/>
      <c r="F45" s="35">
        <v>8.0</v>
      </c>
      <c r="G45" s="36"/>
      <c r="H45" s="36"/>
      <c r="I45" s="36"/>
      <c r="J45" s="36"/>
      <c r="K45" s="36"/>
      <c r="L45" s="36"/>
      <c r="M45" s="36"/>
    </row>
    <row r="46">
      <c r="A46" s="65"/>
      <c r="B46" s="70"/>
      <c r="C46" s="36" t="s">
        <v>209</v>
      </c>
      <c r="D46" s="36">
        <v>3.0</v>
      </c>
      <c r="E46" s="36"/>
      <c r="F46" s="35">
        <v>3.0</v>
      </c>
      <c r="G46" s="36"/>
      <c r="H46" s="36"/>
      <c r="I46" s="36"/>
      <c r="J46" s="36"/>
      <c r="K46" s="36"/>
      <c r="L46" s="36"/>
      <c r="M46" s="36"/>
    </row>
    <row r="47">
      <c r="A47" s="65"/>
      <c r="B47" s="70"/>
      <c r="C47" s="36" t="s">
        <v>210</v>
      </c>
      <c r="D47" s="36">
        <v>8.0</v>
      </c>
      <c r="E47" s="36"/>
      <c r="F47" s="35">
        <v>8.0</v>
      </c>
      <c r="G47" s="36"/>
      <c r="H47" s="36"/>
      <c r="I47" s="36"/>
      <c r="J47" s="36"/>
      <c r="K47" s="36"/>
      <c r="L47" s="36"/>
      <c r="M47" s="36"/>
    </row>
    <row r="48">
      <c r="A48" s="65"/>
      <c r="B48" s="70"/>
      <c r="C48" s="36" t="s">
        <v>211</v>
      </c>
      <c r="D48" s="36">
        <v>3.0</v>
      </c>
      <c r="E48" s="36"/>
      <c r="F48" s="35">
        <v>5.0</v>
      </c>
      <c r="G48" s="36"/>
      <c r="H48" s="36"/>
      <c r="I48" s="36"/>
      <c r="J48" s="36"/>
      <c r="K48" s="36"/>
      <c r="L48" s="36"/>
      <c r="M48" s="36"/>
    </row>
    <row r="49">
      <c r="A49" s="65"/>
      <c r="B49" s="70"/>
      <c r="C49" s="36" t="s">
        <v>212</v>
      </c>
      <c r="D49" s="36">
        <v>3.0</v>
      </c>
      <c r="E49" s="36"/>
      <c r="F49" s="35">
        <v>2.0</v>
      </c>
      <c r="G49" s="36"/>
      <c r="H49" s="36"/>
      <c r="I49" s="36"/>
      <c r="J49" s="36"/>
      <c r="K49" s="36"/>
      <c r="L49" s="36"/>
      <c r="M49" s="36"/>
    </row>
    <row r="50">
      <c r="A50" s="71">
        <v>5.0</v>
      </c>
      <c r="B50" s="41" t="s">
        <v>161</v>
      </c>
      <c r="C50" s="41" t="s">
        <v>213</v>
      </c>
      <c r="D50" s="41">
        <v>5.0</v>
      </c>
      <c r="E50" s="41"/>
      <c r="F50" s="41">
        <v>5.0</v>
      </c>
      <c r="G50" s="41"/>
      <c r="H50" s="41"/>
      <c r="I50" s="41"/>
      <c r="J50" s="41"/>
      <c r="K50" s="41"/>
      <c r="L50" s="41"/>
      <c r="M50" s="41"/>
    </row>
    <row r="51">
      <c r="A51" s="65"/>
      <c r="B51" s="70"/>
      <c r="C51" s="36" t="s">
        <v>214</v>
      </c>
      <c r="D51" s="36">
        <v>3.0</v>
      </c>
      <c r="E51" s="36"/>
      <c r="F51" s="36">
        <v>3.0</v>
      </c>
      <c r="G51" s="36"/>
      <c r="H51" s="36"/>
      <c r="I51" s="36"/>
      <c r="J51" s="36"/>
      <c r="K51" s="36"/>
      <c r="L51" s="36"/>
      <c r="M51" s="36"/>
    </row>
    <row r="52">
      <c r="A52" s="65"/>
      <c r="B52" s="70"/>
      <c r="C52" s="36" t="s">
        <v>215</v>
      </c>
      <c r="D52" s="36">
        <v>8.0</v>
      </c>
      <c r="E52" s="36"/>
      <c r="F52" s="36">
        <v>8.0</v>
      </c>
      <c r="G52" s="36"/>
      <c r="H52" s="36"/>
      <c r="I52" s="36"/>
      <c r="J52" s="36"/>
      <c r="K52" s="36"/>
      <c r="L52" s="36"/>
      <c r="M52" s="36"/>
    </row>
    <row r="53">
      <c r="A53" s="65"/>
      <c r="B53" s="70"/>
      <c r="C53" s="36" t="s">
        <v>216</v>
      </c>
      <c r="D53" s="36">
        <v>8.0</v>
      </c>
      <c r="E53" s="36"/>
      <c r="F53" s="36">
        <v>13.0</v>
      </c>
      <c r="G53" s="36"/>
      <c r="H53" s="36"/>
      <c r="I53" s="36"/>
      <c r="J53" s="36"/>
      <c r="K53" s="36"/>
      <c r="L53" s="36"/>
      <c r="M53" s="36"/>
    </row>
    <row r="54">
      <c r="A54" s="65"/>
      <c r="B54" s="70"/>
      <c r="C54" s="36" t="s">
        <v>217</v>
      </c>
      <c r="D54" s="36">
        <v>5.0</v>
      </c>
      <c r="E54" s="36"/>
      <c r="F54" s="36">
        <v>8.0</v>
      </c>
      <c r="G54" s="36"/>
      <c r="H54" s="36"/>
      <c r="I54" s="36"/>
      <c r="J54" s="36"/>
      <c r="K54" s="36"/>
      <c r="L54" s="36"/>
      <c r="M54" s="36"/>
    </row>
    <row r="55">
      <c r="A55" s="71">
        <v>6.0</v>
      </c>
      <c r="B55" s="41" t="s">
        <v>162</v>
      </c>
      <c r="C55" s="41" t="s">
        <v>218</v>
      </c>
      <c r="D55" s="41">
        <v>5.0</v>
      </c>
      <c r="E55" s="41"/>
      <c r="F55" s="41">
        <v>5.0</v>
      </c>
      <c r="G55" s="41"/>
      <c r="H55" s="41"/>
      <c r="I55" s="41"/>
      <c r="J55" s="41"/>
      <c r="K55" s="41"/>
      <c r="L55" s="41"/>
      <c r="M55" s="41"/>
    </row>
    <row r="56">
      <c r="A56" s="65"/>
      <c r="B56" s="70"/>
      <c r="C56" s="36" t="s">
        <v>219</v>
      </c>
      <c r="D56" s="36">
        <v>8.0</v>
      </c>
      <c r="E56" s="36"/>
      <c r="F56" s="36">
        <v>13.0</v>
      </c>
      <c r="G56" s="36"/>
      <c r="H56" s="36"/>
      <c r="I56" s="36"/>
      <c r="J56" s="36"/>
      <c r="K56" s="36"/>
      <c r="L56" s="36"/>
      <c r="M56" s="36"/>
    </row>
    <row r="57">
      <c r="A57" s="36"/>
      <c r="B57" s="36"/>
      <c r="C57" s="36" t="s">
        <v>220</v>
      </c>
      <c r="D57" s="36">
        <v>8.0</v>
      </c>
      <c r="E57" s="36"/>
      <c r="F57" s="36">
        <v>8.0</v>
      </c>
      <c r="G57" s="36"/>
      <c r="H57" s="36"/>
      <c r="I57" s="36"/>
      <c r="J57" s="36"/>
      <c r="K57" s="36"/>
      <c r="L57" s="36"/>
      <c r="M57" s="36"/>
    </row>
    <row r="58">
      <c r="A58" s="70"/>
      <c r="B58" s="70"/>
      <c r="C58" s="70" t="s">
        <v>221</v>
      </c>
      <c r="D58" s="76">
        <v>5.0</v>
      </c>
      <c r="E58" s="70"/>
      <c r="F58" s="76">
        <v>5.0</v>
      </c>
      <c r="G58" s="70"/>
      <c r="H58" s="70"/>
      <c r="I58" s="70"/>
      <c r="J58" s="70"/>
      <c r="K58" s="70"/>
      <c r="L58" s="70"/>
      <c r="M58" s="70"/>
    </row>
    <row r="59">
      <c r="A59" s="70"/>
      <c r="B59" s="70"/>
      <c r="C59" s="70" t="s">
        <v>222</v>
      </c>
      <c r="D59" s="70">
        <v>3.0</v>
      </c>
      <c r="E59" s="70"/>
      <c r="F59" s="76">
        <v>3.0</v>
      </c>
      <c r="G59" s="70"/>
      <c r="H59" s="70"/>
      <c r="I59" s="70"/>
      <c r="J59" s="70"/>
      <c r="K59" s="70"/>
      <c r="L59" s="70"/>
      <c r="M59" s="70"/>
    </row>
    <row r="60">
      <c r="A60" s="70"/>
      <c r="B60" s="70"/>
      <c r="C60" s="76" t="s">
        <v>223</v>
      </c>
      <c r="D60" s="76">
        <v>3.0</v>
      </c>
      <c r="E60" s="70"/>
      <c r="F60" s="76">
        <v>3.0</v>
      </c>
      <c r="G60" s="70"/>
      <c r="H60" s="70"/>
      <c r="I60" s="70"/>
      <c r="J60" s="70"/>
      <c r="K60" s="70"/>
      <c r="L60" s="70"/>
      <c r="M60" s="70"/>
    </row>
    <row r="61">
      <c r="A61" s="65"/>
      <c r="B61" s="70"/>
      <c r="C61" s="36" t="s">
        <v>224</v>
      </c>
      <c r="D61" s="77">
        <v>3.0</v>
      </c>
      <c r="E61" s="70"/>
      <c r="F61" s="76">
        <v>5.0</v>
      </c>
      <c r="G61" s="36"/>
      <c r="H61" s="36"/>
      <c r="I61" s="36"/>
      <c r="J61" s="36"/>
      <c r="K61" s="36"/>
      <c r="L61" s="36"/>
      <c r="M61" s="36"/>
    </row>
    <row r="62">
      <c r="A62" s="75"/>
      <c r="B62" s="35"/>
      <c r="C62" s="36" t="s">
        <v>225</v>
      </c>
      <c r="D62" s="36">
        <v>5.0</v>
      </c>
      <c r="E62" s="35"/>
      <c r="F62" s="76">
        <v>5.0</v>
      </c>
      <c r="G62" s="35"/>
      <c r="H62" s="35"/>
      <c r="I62" s="35"/>
      <c r="J62" s="35"/>
      <c r="K62" s="35"/>
      <c r="L62" s="35"/>
      <c r="M62" s="35"/>
    </row>
    <row r="63">
      <c r="A63" s="65"/>
      <c r="B63" s="70"/>
      <c r="C63" s="36" t="s">
        <v>226</v>
      </c>
      <c r="D63" s="76">
        <v>3.0</v>
      </c>
      <c r="E63" s="70"/>
      <c r="F63" s="76">
        <v>3.0</v>
      </c>
      <c r="G63" s="35"/>
      <c r="H63" s="35"/>
      <c r="I63" s="35"/>
      <c r="J63" s="35"/>
      <c r="K63" s="35"/>
      <c r="L63" s="35"/>
      <c r="M63" s="35"/>
    </row>
    <row r="64">
      <c r="A64" s="75"/>
      <c r="B64" s="36"/>
      <c r="C64" s="76" t="s">
        <v>227</v>
      </c>
      <c r="D64" s="76">
        <v>5.0</v>
      </c>
      <c r="E64" s="70"/>
      <c r="F64" s="76">
        <v>5.0</v>
      </c>
      <c r="G64" s="70"/>
      <c r="H64" s="70"/>
      <c r="I64" s="70"/>
      <c r="J64" s="70"/>
      <c r="K64" s="70"/>
      <c r="L64" s="70"/>
      <c r="M64" s="70"/>
    </row>
    <row r="65">
      <c r="A65" s="75"/>
      <c r="B65" s="36"/>
      <c r="C65" s="76" t="s">
        <v>228</v>
      </c>
      <c r="D65" s="76">
        <v>2.0</v>
      </c>
      <c r="E65" s="70"/>
      <c r="F65" s="76">
        <v>2.0</v>
      </c>
      <c r="G65" s="70"/>
      <c r="H65" s="70"/>
      <c r="I65" s="70"/>
      <c r="J65" s="70"/>
      <c r="K65" s="70"/>
      <c r="L65" s="70"/>
      <c r="M65" s="70"/>
    </row>
    <row r="66">
      <c r="A66" s="75"/>
      <c r="B66" s="36"/>
      <c r="C66" s="76"/>
      <c r="D66" s="76"/>
      <c r="E66" s="70"/>
      <c r="F66" s="76"/>
      <c r="G66" s="70"/>
      <c r="H66" s="70"/>
      <c r="I66" s="70"/>
      <c r="J66" s="70"/>
      <c r="K66" s="70"/>
      <c r="L66" s="70"/>
      <c r="M66" s="70"/>
    </row>
    <row r="67">
      <c r="A67" s="75"/>
      <c r="B67" s="35"/>
      <c r="C67" s="76"/>
      <c r="D67" s="76"/>
      <c r="E67" s="70"/>
      <c r="F67" s="76"/>
      <c r="G67" s="70"/>
      <c r="H67" s="70"/>
      <c r="I67" s="70"/>
      <c r="J67" s="70"/>
      <c r="K67" s="70"/>
      <c r="L67" s="70"/>
      <c r="M67" s="70"/>
    </row>
    <row r="68">
      <c r="A68" s="65"/>
      <c r="B68" s="70"/>
      <c r="C68" s="35"/>
      <c r="D68" s="76"/>
      <c r="E68" s="70"/>
      <c r="F68" s="76"/>
      <c r="G68" s="36"/>
      <c r="H68" s="36"/>
      <c r="I68" s="36"/>
      <c r="J68" s="36"/>
      <c r="K68" s="36"/>
      <c r="L68" s="36"/>
      <c r="M68" s="36"/>
    </row>
    <row r="69">
      <c r="A69" s="65"/>
      <c r="B69" s="70"/>
      <c r="C69" s="78" t="s">
        <v>229</v>
      </c>
      <c r="D69" s="62"/>
      <c r="E69" s="32"/>
      <c r="F69" s="32"/>
      <c r="G69" s="36"/>
      <c r="H69" s="36"/>
      <c r="I69" s="36"/>
      <c r="J69" s="36"/>
      <c r="K69" s="36"/>
      <c r="L69" s="36"/>
      <c r="M69" s="36"/>
    </row>
    <row r="70">
      <c r="A70" s="65"/>
      <c r="B70" s="70"/>
      <c r="C70" s="32"/>
      <c r="D70" s="32"/>
      <c r="E70" s="32"/>
      <c r="F70" s="32"/>
      <c r="G70" s="32"/>
      <c r="H70" s="32"/>
      <c r="I70" s="32"/>
      <c r="J70" s="32"/>
      <c r="K70" s="32"/>
      <c r="L70" s="32"/>
      <c r="M70" s="32"/>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7.38"/>
    <col customWidth="1" min="2" max="2" width="47.63"/>
    <col customWidth="1" min="3" max="3" width="62.63"/>
    <col customWidth="1" min="4" max="7" width="15.75"/>
  </cols>
  <sheetData>
    <row r="1">
      <c r="A1" s="79" t="s">
        <v>230</v>
      </c>
      <c r="B1" s="46" t="s">
        <v>173</v>
      </c>
      <c r="C1" s="47" t="s">
        <v>174</v>
      </c>
      <c r="D1" s="48" t="s">
        <v>175</v>
      </c>
      <c r="E1" s="48" t="s">
        <v>176</v>
      </c>
      <c r="F1" s="48" t="s">
        <v>177</v>
      </c>
      <c r="G1" s="48" t="s">
        <v>178</v>
      </c>
    </row>
    <row r="2">
      <c r="A2" s="49"/>
      <c r="B2" s="50"/>
      <c r="C2" s="32"/>
      <c r="D2" s="32"/>
      <c r="E2" s="32"/>
      <c r="F2" s="32"/>
      <c r="G2" s="32"/>
    </row>
    <row r="3">
      <c r="A3" s="51" t="s">
        <v>179</v>
      </c>
      <c r="B3" s="52"/>
      <c r="C3" s="53"/>
      <c r="D3" s="53"/>
      <c r="E3" s="53"/>
      <c r="F3" s="53"/>
      <c r="G3" s="53"/>
    </row>
    <row r="4">
      <c r="A4" s="49"/>
      <c r="B4" s="50"/>
      <c r="C4" s="32"/>
      <c r="D4" s="32"/>
      <c r="E4" s="32"/>
      <c r="F4" s="32"/>
      <c r="G4" s="32"/>
    </row>
    <row r="5">
      <c r="A5" s="54" t="s">
        <v>180</v>
      </c>
      <c r="B5" s="55"/>
      <c r="C5" s="30"/>
      <c r="D5" s="56">
        <f>sum(D8:D16)</f>
        <v>217</v>
      </c>
      <c r="E5" s="56">
        <f>D5</f>
        <v>217</v>
      </c>
      <c r="F5" s="30"/>
      <c r="G5" s="30"/>
    </row>
    <row r="6">
      <c r="A6" s="49"/>
      <c r="B6" s="50"/>
      <c r="C6" s="32"/>
      <c r="D6" s="32"/>
      <c r="E6" s="32"/>
      <c r="F6" s="32"/>
      <c r="G6" s="32"/>
    </row>
    <row r="7">
      <c r="A7" s="80" t="s">
        <v>172</v>
      </c>
      <c r="B7" s="58"/>
      <c r="C7" s="59"/>
      <c r="D7" s="59"/>
      <c r="E7" s="59"/>
      <c r="F7" s="59"/>
      <c r="G7" s="59"/>
    </row>
    <row r="8">
      <c r="A8" s="81"/>
      <c r="B8" s="50"/>
      <c r="C8" s="32"/>
      <c r="D8" s="82"/>
      <c r="E8" s="83" t="s">
        <v>181</v>
      </c>
      <c r="F8" s="82"/>
      <c r="G8" s="83" t="s">
        <v>182</v>
      </c>
    </row>
    <row r="9">
      <c r="A9" s="64"/>
      <c r="B9" s="72"/>
      <c r="C9" s="72"/>
      <c r="D9" s="30">
        <v>0.0</v>
      </c>
      <c r="E9" s="56">
        <f>$D$5</f>
        <v>217</v>
      </c>
      <c r="F9" s="30">
        <v>0.0</v>
      </c>
      <c r="G9" s="56">
        <f t="shared" ref="G9:G10" si="1">$D$5</f>
        <v>217</v>
      </c>
    </row>
    <row r="10">
      <c r="A10" s="49">
        <v>7.0</v>
      </c>
      <c r="B10" s="36" t="s">
        <v>163</v>
      </c>
      <c r="C10" s="32"/>
      <c r="D10" s="32">
        <f>sum(D20:D28)</f>
        <v>42</v>
      </c>
      <c r="E10" s="32">
        <f t="shared" ref="E10:E15" si="2">E9-D9</f>
        <v>217</v>
      </c>
      <c r="F10" s="32">
        <f>sum(F20:F28)</f>
        <v>44</v>
      </c>
      <c r="G10" s="32">
        <f t="shared" si="1"/>
        <v>217</v>
      </c>
    </row>
    <row r="11">
      <c r="A11" s="61">
        <v>8.0</v>
      </c>
      <c r="B11" s="41" t="s">
        <v>187</v>
      </c>
      <c r="C11" s="72"/>
      <c r="D11" s="56">
        <f>sum(D30:D36)</f>
        <v>26</v>
      </c>
      <c r="E11" s="56">
        <f t="shared" si="2"/>
        <v>175</v>
      </c>
      <c r="F11" s="56">
        <f>sum(F30:F36)</f>
        <v>34</v>
      </c>
      <c r="G11" s="56">
        <f t="shared" ref="G11:G15" si="3">G10-F10</f>
        <v>173</v>
      </c>
    </row>
    <row r="12">
      <c r="A12" s="49">
        <v>9.0</v>
      </c>
      <c r="B12" s="36" t="s">
        <v>186</v>
      </c>
      <c r="C12" s="32"/>
      <c r="D12" s="62">
        <f>sum(D36:D47)</f>
        <v>41</v>
      </c>
      <c r="E12" s="62">
        <f t="shared" si="2"/>
        <v>149</v>
      </c>
      <c r="F12" s="62">
        <f>sum(F37:F47)</f>
        <v>40</v>
      </c>
      <c r="G12" s="62">
        <f t="shared" si="3"/>
        <v>139</v>
      </c>
    </row>
    <row r="13">
      <c r="A13" s="61">
        <v>10.0</v>
      </c>
      <c r="B13" s="41" t="s">
        <v>165</v>
      </c>
      <c r="C13" s="30"/>
      <c r="D13" s="56">
        <f>sum(D47:D53)</f>
        <v>34</v>
      </c>
      <c r="E13" s="56">
        <f t="shared" si="2"/>
        <v>108</v>
      </c>
      <c r="F13" s="56">
        <f>sum(F47:F53)</f>
        <v>34</v>
      </c>
      <c r="G13" s="56">
        <f t="shared" si="3"/>
        <v>99</v>
      </c>
    </row>
    <row r="14" ht="45.75" customHeight="1">
      <c r="A14" s="63">
        <v>11.0</v>
      </c>
      <c r="B14" s="36" t="s">
        <v>167</v>
      </c>
      <c r="C14" s="32"/>
      <c r="D14" s="32">
        <f>sum(D54:D65)</f>
        <v>45</v>
      </c>
      <c r="E14" s="32">
        <f t="shared" si="2"/>
        <v>74</v>
      </c>
      <c r="F14" s="32">
        <f>sum(F54:F65)</f>
        <v>38</v>
      </c>
      <c r="G14" s="32">
        <f t="shared" si="3"/>
        <v>65</v>
      </c>
    </row>
    <row r="15" ht="42.0" customHeight="1">
      <c r="A15" s="61">
        <v>12.0</v>
      </c>
      <c r="B15" s="41" t="s">
        <v>168</v>
      </c>
      <c r="C15" s="61"/>
      <c r="D15" s="84">
        <f>sum(D66:D75)</f>
        <v>29</v>
      </c>
      <c r="E15" s="41">
        <f t="shared" si="2"/>
        <v>29</v>
      </c>
      <c r="F15" s="41">
        <f>sum(F67:F78)</f>
        <v>39</v>
      </c>
      <c r="G15" s="41">
        <f t="shared" si="3"/>
        <v>27</v>
      </c>
    </row>
    <row r="16">
      <c r="A16" s="63"/>
      <c r="B16" s="36"/>
      <c r="C16" s="32"/>
      <c r="D16" s="32"/>
      <c r="E16" s="32"/>
      <c r="F16" s="32"/>
      <c r="G16" s="32"/>
    </row>
    <row r="17">
      <c r="A17" s="63"/>
      <c r="B17" s="36"/>
      <c r="C17" s="32"/>
      <c r="D17" s="26"/>
      <c r="E17" s="32"/>
      <c r="F17" s="32"/>
      <c r="G17" s="32"/>
    </row>
    <row r="18">
      <c r="A18" s="49"/>
      <c r="B18" s="50"/>
      <c r="C18" s="32"/>
      <c r="D18" s="32"/>
      <c r="E18" s="60"/>
      <c r="F18" s="32"/>
      <c r="G18" s="60"/>
    </row>
    <row r="19">
      <c r="A19" s="49"/>
      <c r="B19" s="50"/>
      <c r="C19" s="32"/>
      <c r="D19" s="32"/>
      <c r="E19" s="60" t="s">
        <v>181</v>
      </c>
      <c r="F19" s="32"/>
      <c r="G19" s="60" t="s">
        <v>182</v>
      </c>
    </row>
    <row r="20">
      <c r="A20" s="71">
        <v>7.0</v>
      </c>
      <c r="B20" s="41" t="s">
        <v>163</v>
      </c>
      <c r="C20" s="85" t="s">
        <v>231</v>
      </c>
      <c r="D20" s="86">
        <v>8.0</v>
      </c>
      <c r="E20" s="74"/>
      <c r="F20" s="86">
        <v>8.0</v>
      </c>
      <c r="G20" s="74"/>
    </row>
    <row r="21">
      <c r="A21" s="65"/>
      <c r="B21" s="70"/>
      <c r="C21" s="87" t="s">
        <v>232</v>
      </c>
      <c r="D21" s="76">
        <v>5.0</v>
      </c>
      <c r="E21" s="70"/>
      <c r="F21" s="76">
        <v>5.0</v>
      </c>
      <c r="G21" s="36"/>
    </row>
    <row r="22">
      <c r="A22" s="70"/>
      <c r="B22" s="70"/>
      <c r="C22" s="88" t="s">
        <v>233</v>
      </c>
      <c r="D22" s="76">
        <v>3.0</v>
      </c>
      <c r="E22" s="70"/>
      <c r="F22" s="76">
        <v>3.0</v>
      </c>
      <c r="G22" s="70"/>
    </row>
    <row r="23" ht="12.0" customHeight="1">
      <c r="A23" s="65"/>
      <c r="B23" s="70"/>
      <c r="C23" s="87" t="s">
        <v>234</v>
      </c>
      <c r="D23" s="76">
        <v>5.0</v>
      </c>
      <c r="E23" s="70"/>
      <c r="F23" s="76">
        <v>8.0</v>
      </c>
      <c r="G23" s="36"/>
    </row>
    <row r="24">
      <c r="A24" s="70"/>
      <c r="B24" s="70"/>
      <c r="C24" s="88" t="s">
        <v>235</v>
      </c>
      <c r="D24" s="76">
        <v>2.0</v>
      </c>
      <c r="E24" s="70"/>
      <c r="F24" s="76">
        <v>2.0</v>
      </c>
      <c r="G24" s="70"/>
    </row>
    <row r="25">
      <c r="A25" s="65"/>
      <c r="B25" s="70"/>
      <c r="C25" s="87" t="s">
        <v>236</v>
      </c>
      <c r="D25" s="76">
        <v>5.0</v>
      </c>
      <c r="E25" s="70"/>
      <c r="F25" s="76">
        <v>5.0</v>
      </c>
      <c r="G25" s="36"/>
    </row>
    <row r="26">
      <c r="A26" s="70"/>
      <c r="B26" s="70"/>
      <c r="C26" s="88" t="s">
        <v>237</v>
      </c>
      <c r="D26" s="76">
        <v>8.0</v>
      </c>
      <c r="E26" s="70"/>
      <c r="F26" s="76">
        <v>8.0</v>
      </c>
      <c r="G26" s="70"/>
    </row>
    <row r="27">
      <c r="A27" s="65"/>
      <c r="B27" s="70"/>
      <c r="C27" s="87" t="s">
        <v>238</v>
      </c>
      <c r="D27" s="76">
        <v>3.0</v>
      </c>
      <c r="E27" s="70"/>
      <c r="F27" s="76">
        <v>2.0</v>
      </c>
      <c r="G27" s="36"/>
    </row>
    <row r="28">
      <c r="A28" s="65"/>
      <c r="B28" s="70"/>
      <c r="C28" s="87" t="s">
        <v>239</v>
      </c>
      <c r="D28" s="76">
        <v>3.0</v>
      </c>
      <c r="E28" s="70"/>
      <c r="F28" s="76">
        <v>3.0</v>
      </c>
      <c r="G28" s="36"/>
    </row>
    <row r="29">
      <c r="A29" s="63"/>
      <c r="B29" s="36"/>
      <c r="C29" s="87"/>
      <c r="D29" s="76"/>
      <c r="E29" s="70"/>
      <c r="F29" s="76"/>
      <c r="G29" s="36"/>
    </row>
    <row r="30" ht="54.0" customHeight="1">
      <c r="A30" s="64">
        <v>8.0</v>
      </c>
      <c r="B30" s="41" t="s">
        <v>187</v>
      </c>
      <c r="C30" s="89" t="s">
        <v>240</v>
      </c>
      <c r="D30" s="86">
        <v>3.0</v>
      </c>
      <c r="E30" s="74"/>
      <c r="F30" s="86">
        <v>3.0</v>
      </c>
      <c r="G30" s="41"/>
    </row>
    <row r="31">
      <c r="A31" s="65"/>
      <c r="B31" s="70"/>
      <c r="C31" s="87" t="s">
        <v>241</v>
      </c>
      <c r="D31" s="76">
        <v>3.0</v>
      </c>
      <c r="E31" s="70"/>
      <c r="F31" s="76">
        <v>3.0</v>
      </c>
      <c r="G31" s="36"/>
    </row>
    <row r="32">
      <c r="A32" s="70"/>
      <c r="B32" s="70"/>
      <c r="C32" s="88" t="s">
        <v>242</v>
      </c>
      <c r="D32" s="76">
        <v>5.0</v>
      </c>
      <c r="E32" s="70"/>
      <c r="F32" s="76">
        <v>13.0</v>
      </c>
      <c r="G32" s="70"/>
    </row>
    <row r="33">
      <c r="A33" s="70"/>
      <c r="B33" s="70"/>
      <c r="C33" s="88" t="s">
        <v>243</v>
      </c>
      <c r="D33" s="76">
        <v>2.0</v>
      </c>
      <c r="E33" s="70"/>
      <c r="F33" s="76">
        <v>2.0</v>
      </c>
      <c r="G33" s="70"/>
    </row>
    <row r="34">
      <c r="A34" s="70"/>
      <c r="B34" s="70"/>
      <c r="C34" s="88" t="s">
        <v>244</v>
      </c>
      <c r="D34" s="76">
        <v>8.0</v>
      </c>
      <c r="E34" s="70"/>
      <c r="F34" s="76">
        <v>8.0</v>
      </c>
      <c r="G34" s="70"/>
    </row>
    <row r="35">
      <c r="A35" s="70"/>
      <c r="B35" s="70"/>
      <c r="C35" s="88" t="s">
        <v>245</v>
      </c>
      <c r="D35" s="76">
        <v>5.0</v>
      </c>
      <c r="E35" s="70"/>
      <c r="F35" s="76">
        <v>5.0</v>
      </c>
      <c r="G35" s="70"/>
    </row>
    <row r="36">
      <c r="A36" s="70"/>
      <c r="B36" s="70"/>
      <c r="C36" s="88"/>
      <c r="D36" s="76"/>
      <c r="E36" s="70"/>
      <c r="F36" s="76"/>
      <c r="G36" s="70"/>
    </row>
    <row r="37">
      <c r="A37" s="64">
        <v>9.0</v>
      </c>
      <c r="B37" s="41" t="s">
        <v>165</v>
      </c>
      <c r="C37" s="90"/>
      <c r="D37" s="86"/>
      <c r="E37" s="74"/>
      <c r="F37" s="86"/>
      <c r="G37" s="41"/>
    </row>
    <row r="38">
      <c r="A38" s="70"/>
      <c r="B38" s="70"/>
      <c r="C38" s="87" t="s">
        <v>246</v>
      </c>
      <c r="D38" s="76">
        <v>3.0</v>
      </c>
      <c r="E38" s="70"/>
      <c r="F38" s="76">
        <v>3.0</v>
      </c>
      <c r="G38" s="70"/>
    </row>
    <row r="39">
      <c r="A39" s="70"/>
      <c r="B39" s="70"/>
      <c r="C39" s="88" t="s">
        <v>247</v>
      </c>
      <c r="D39" s="76">
        <v>8.0</v>
      </c>
      <c r="E39" s="70"/>
      <c r="F39" s="76">
        <v>8.0</v>
      </c>
      <c r="G39" s="70"/>
    </row>
    <row r="40">
      <c r="A40" s="70"/>
      <c r="B40" s="70"/>
      <c r="C40" s="88" t="s">
        <v>248</v>
      </c>
      <c r="D40" s="76">
        <v>2.0</v>
      </c>
      <c r="E40" s="70"/>
      <c r="F40" s="76">
        <v>2.0</v>
      </c>
      <c r="G40" s="70"/>
    </row>
    <row r="41">
      <c r="A41" s="70"/>
      <c r="B41" s="70"/>
      <c r="C41" s="88" t="s">
        <v>249</v>
      </c>
      <c r="D41" s="76">
        <v>2.0</v>
      </c>
      <c r="E41" s="70"/>
      <c r="F41" s="76">
        <v>2.0</v>
      </c>
      <c r="G41" s="70"/>
    </row>
    <row r="42">
      <c r="A42" s="70"/>
      <c r="B42" s="70"/>
      <c r="C42" s="88" t="s">
        <v>250</v>
      </c>
      <c r="D42" s="76">
        <v>5.0</v>
      </c>
      <c r="E42" s="70"/>
      <c r="F42" s="76">
        <v>5.0</v>
      </c>
      <c r="G42" s="70"/>
    </row>
    <row r="43">
      <c r="A43" s="70"/>
      <c r="B43" s="70"/>
      <c r="C43" s="88" t="s">
        <v>251</v>
      </c>
      <c r="D43" s="76">
        <v>3.0</v>
      </c>
      <c r="E43" s="70"/>
      <c r="F43" s="76">
        <v>2.0</v>
      </c>
      <c r="G43" s="70"/>
    </row>
    <row r="44">
      <c r="A44" s="70"/>
      <c r="B44" s="70"/>
      <c r="C44" s="88" t="s">
        <v>252</v>
      </c>
      <c r="D44" s="76">
        <v>5.0</v>
      </c>
      <c r="E44" s="70"/>
      <c r="F44" s="76">
        <v>5.0</v>
      </c>
      <c r="G44" s="70"/>
    </row>
    <row r="45">
      <c r="A45" s="70"/>
      <c r="B45" s="70"/>
      <c r="C45" s="88" t="s">
        <v>253</v>
      </c>
      <c r="D45" s="76">
        <v>5.0</v>
      </c>
      <c r="E45" s="70"/>
      <c r="F45" s="76">
        <v>5.0</v>
      </c>
      <c r="G45" s="70"/>
    </row>
    <row r="46">
      <c r="A46" s="63"/>
      <c r="B46" s="35"/>
      <c r="C46" s="91"/>
      <c r="D46" s="76"/>
      <c r="E46" s="70"/>
      <c r="F46" s="76"/>
      <c r="G46" s="36"/>
    </row>
    <row r="47">
      <c r="A47" s="64">
        <v>10.0</v>
      </c>
      <c r="B47" s="41" t="s">
        <v>165</v>
      </c>
      <c r="C47" s="89" t="s">
        <v>254</v>
      </c>
      <c r="D47" s="86">
        <v>8.0</v>
      </c>
      <c r="E47" s="74"/>
      <c r="F47" s="86">
        <v>8.0</v>
      </c>
      <c r="G47" s="41"/>
    </row>
    <row r="48" ht="18.0" customHeight="1">
      <c r="A48" s="70"/>
      <c r="B48" s="70"/>
      <c r="C48" s="88" t="s">
        <v>255</v>
      </c>
      <c r="D48" s="76">
        <v>5.0</v>
      </c>
      <c r="E48" s="70"/>
      <c r="F48" s="76">
        <v>5.0</v>
      </c>
      <c r="G48" s="70"/>
    </row>
    <row r="49">
      <c r="A49" s="70"/>
      <c r="B49" s="70"/>
      <c r="C49" s="88" t="s">
        <v>256</v>
      </c>
      <c r="D49" s="76">
        <v>3.0</v>
      </c>
      <c r="E49" s="70"/>
      <c r="F49" s="76">
        <v>3.0</v>
      </c>
      <c r="G49" s="70"/>
    </row>
    <row r="50">
      <c r="A50" s="70"/>
      <c r="B50" s="70"/>
      <c r="C50" s="87" t="s">
        <v>257</v>
      </c>
      <c r="D50" s="76">
        <v>5.0</v>
      </c>
      <c r="E50" s="70"/>
      <c r="F50" s="76">
        <v>5.0</v>
      </c>
      <c r="G50" s="70"/>
    </row>
    <row r="51">
      <c r="A51" s="70"/>
      <c r="B51" s="70"/>
      <c r="C51" s="88" t="s">
        <v>258</v>
      </c>
      <c r="D51" s="76">
        <v>3.0</v>
      </c>
      <c r="E51" s="70"/>
      <c r="F51" s="76">
        <v>3.0</v>
      </c>
      <c r="G51" s="70"/>
    </row>
    <row r="52">
      <c r="A52" s="70"/>
      <c r="B52" s="70"/>
      <c r="C52" s="88" t="s">
        <v>259</v>
      </c>
      <c r="D52" s="76">
        <v>5.0</v>
      </c>
      <c r="E52" s="70"/>
      <c r="F52" s="76">
        <v>5.0</v>
      </c>
      <c r="G52" s="70"/>
    </row>
    <row r="53">
      <c r="A53" s="70"/>
      <c r="B53" s="70"/>
      <c r="C53" s="88" t="s">
        <v>260</v>
      </c>
      <c r="D53" s="76">
        <v>5.0</v>
      </c>
      <c r="E53" s="70"/>
      <c r="F53" s="76">
        <v>5.0</v>
      </c>
      <c r="G53" s="70"/>
    </row>
    <row r="54">
      <c r="A54" s="85">
        <v>11.0</v>
      </c>
      <c r="B54" s="41" t="s">
        <v>167</v>
      </c>
      <c r="C54" s="85"/>
      <c r="D54" s="86"/>
      <c r="E54" s="74"/>
      <c r="F54" s="86"/>
      <c r="G54" s="74"/>
    </row>
    <row r="55">
      <c r="A55" s="70"/>
      <c r="B55" s="70"/>
      <c r="C55" s="88" t="s">
        <v>261</v>
      </c>
      <c r="D55" s="76">
        <v>5.0</v>
      </c>
      <c r="E55" s="70"/>
      <c r="F55" s="76">
        <v>5.0</v>
      </c>
      <c r="G55" s="70"/>
    </row>
    <row r="56">
      <c r="A56" s="70"/>
      <c r="B56" s="70"/>
      <c r="C56" s="88" t="s">
        <v>262</v>
      </c>
      <c r="D56" s="76">
        <v>2.0</v>
      </c>
      <c r="E56" s="70"/>
      <c r="F56" s="76">
        <v>1.0</v>
      </c>
      <c r="G56" s="70"/>
    </row>
    <row r="57">
      <c r="A57" s="70"/>
      <c r="B57" s="70"/>
      <c r="C57" s="88" t="s">
        <v>263</v>
      </c>
      <c r="D57" s="76">
        <v>3.0</v>
      </c>
      <c r="E57" s="70"/>
      <c r="F57" s="76">
        <v>5.0</v>
      </c>
      <c r="G57" s="70"/>
    </row>
    <row r="58">
      <c r="A58" s="70"/>
      <c r="B58" s="70"/>
      <c r="C58" s="88" t="s">
        <v>264</v>
      </c>
      <c r="D58" s="76">
        <v>5.0</v>
      </c>
      <c r="E58" s="70"/>
      <c r="F58" s="76">
        <v>5.0</v>
      </c>
      <c r="G58" s="70"/>
    </row>
    <row r="59">
      <c r="A59" s="70"/>
      <c r="B59" s="70"/>
      <c r="C59" s="88" t="s">
        <v>265</v>
      </c>
      <c r="D59" s="76">
        <v>3.0</v>
      </c>
      <c r="E59" s="70"/>
      <c r="F59" s="76">
        <v>2.0</v>
      </c>
      <c r="G59" s="70"/>
    </row>
    <row r="60">
      <c r="A60" s="70"/>
      <c r="B60" s="70"/>
      <c r="C60" s="88" t="s">
        <v>266</v>
      </c>
      <c r="D60" s="76">
        <v>2.0</v>
      </c>
      <c r="E60" s="70"/>
      <c r="F60" s="76">
        <v>2.0</v>
      </c>
      <c r="G60" s="70"/>
    </row>
    <row r="61">
      <c r="A61" s="70"/>
      <c r="B61" s="70"/>
      <c r="C61" s="88" t="s">
        <v>267</v>
      </c>
      <c r="D61" s="76">
        <v>2.0</v>
      </c>
      <c r="E61" s="70"/>
      <c r="F61" s="76">
        <v>2.0</v>
      </c>
      <c r="G61" s="70"/>
    </row>
    <row r="62">
      <c r="A62" s="70"/>
      <c r="B62" s="70"/>
      <c r="C62" s="88" t="s">
        <v>268</v>
      </c>
      <c r="D62" s="76">
        <v>5.0</v>
      </c>
      <c r="E62" s="70"/>
      <c r="F62" s="76">
        <v>3.0</v>
      </c>
      <c r="G62" s="70"/>
    </row>
    <row r="63" ht="17.25" customHeight="1">
      <c r="A63" s="70"/>
      <c r="B63" s="70"/>
      <c r="C63" s="88" t="s">
        <v>269</v>
      </c>
      <c r="D63" s="76">
        <v>5.0</v>
      </c>
      <c r="E63" s="70"/>
      <c r="F63" s="76">
        <v>5.0</v>
      </c>
      <c r="G63" s="70"/>
    </row>
    <row r="64" ht="18.0" customHeight="1">
      <c r="A64" s="70"/>
      <c r="B64" s="70"/>
      <c r="C64" s="88" t="s">
        <v>270</v>
      </c>
      <c r="D64" s="76">
        <v>5.0</v>
      </c>
      <c r="E64" s="70"/>
      <c r="F64" s="76">
        <v>3.0</v>
      </c>
      <c r="G64" s="70"/>
    </row>
    <row r="65">
      <c r="A65" s="70"/>
      <c r="B65" s="70"/>
      <c r="C65" s="88" t="s">
        <v>271</v>
      </c>
      <c r="D65" s="76">
        <v>8.0</v>
      </c>
      <c r="E65" s="70"/>
      <c r="F65" s="76">
        <v>5.0</v>
      </c>
      <c r="G65" s="70"/>
    </row>
    <row r="66">
      <c r="A66" s="85">
        <v>12.0</v>
      </c>
      <c r="B66" s="41" t="s">
        <v>168</v>
      </c>
      <c r="C66" s="89"/>
      <c r="D66" s="86"/>
      <c r="E66" s="74"/>
      <c r="F66" s="86"/>
      <c r="G66" s="74"/>
    </row>
    <row r="67">
      <c r="A67" s="70"/>
      <c r="B67" s="70"/>
      <c r="C67" s="88" t="s">
        <v>272</v>
      </c>
      <c r="D67" s="76">
        <v>2.0</v>
      </c>
      <c r="E67" s="70"/>
      <c r="F67" s="76">
        <v>2.0</v>
      </c>
      <c r="G67" s="70"/>
    </row>
    <row r="68">
      <c r="A68" s="70"/>
      <c r="B68" s="70"/>
      <c r="C68" s="92" t="s">
        <v>273</v>
      </c>
      <c r="D68" s="76">
        <v>3.0</v>
      </c>
      <c r="E68" s="70"/>
      <c r="F68" s="76">
        <v>3.0</v>
      </c>
      <c r="G68" s="70"/>
    </row>
    <row r="69">
      <c r="A69" s="70"/>
      <c r="B69" s="70"/>
      <c r="C69" s="88" t="s">
        <v>274</v>
      </c>
      <c r="D69" s="76"/>
      <c r="E69" s="70"/>
      <c r="F69" s="76">
        <v>2.0</v>
      </c>
      <c r="G69" s="70"/>
    </row>
    <row r="70">
      <c r="A70" s="70"/>
      <c r="B70" s="70"/>
      <c r="C70" s="88" t="s">
        <v>275</v>
      </c>
      <c r="D70" s="76">
        <v>8.0</v>
      </c>
      <c r="E70" s="70"/>
      <c r="F70" s="76">
        <v>8.0</v>
      </c>
      <c r="G70" s="70"/>
    </row>
    <row r="71">
      <c r="A71" s="70"/>
      <c r="B71" s="70"/>
      <c r="C71" s="88" t="s">
        <v>276</v>
      </c>
      <c r="D71" s="76">
        <v>2.0</v>
      </c>
      <c r="E71" s="70"/>
      <c r="F71" s="76">
        <v>2.0</v>
      </c>
      <c r="G71" s="70"/>
    </row>
    <row r="72">
      <c r="A72" s="70"/>
      <c r="B72" s="70"/>
      <c r="C72" s="88" t="s">
        <v>277</v>
      </c>
      <c r="D72" s="76">
        <v>3.0</v>
      </c>
      <c r="E72" s="70"/>
      <c r="F72" s="76">
        <v>3.0</v>
      </c>
      <c r="G72" s="70"/>
    </row>
    <row r="73">
      <c r="A73" s="70"/>
      <c r="B73" s="70"/>
      <c r="C73" s="88" t="s">
        <v>278</v>
      </c>
      <c r="D73" s="76">
        <v>1.0</v>
      </c>
      <c r="E73" s="70"/>
      <c r="F73" s="76">
        <v>1.0</v>
      </c>
      <c r="G73" s="70"/>
    </row>
    <row r="74">
      <c r="A74" s="70"/>
      <c r="B74" s="70"/>
      <c r="C74" s="88" t="s">
        <v>279</v>
      </c>
      <c r="D74" s="76">
        <v>5.0</v>
      </c>
      <c r="E74" s="70"/>
      <c r="F74" s="76">
        <v>5.0</v>
      </c>
      <c r="G74" s="70"/>
    </row>
    <row r="75">
      <c r="A75" s="70"/>
      <c r="B75" s="70"/>
      <c r="C75" s="93" t="s">
        <v>280</v>
      </c>
      <c r="D75" s="76">
        <v>5.0</v>
      </c>
      <c r="E75" s="70"/>
      <c r="F75" s="76">
        <v>5.0</v>
      </c>
      <c r="G75" s="70"/>
    </row>
    <row r="76">
      <c r="A76" s="70"/>
      <c r="B76" s="70"/>
      <c r="C76" s="92" t="s">
        <v>281</v>
      </c>
      <c r="D76" s="76">
        <v>3.0</v>
      </c>
      <c r="E76" s="70"/>
      <c r="F76" s="76">
        <v>3.0</v>
      </c>
      <c r="G76" s="70"/>
    </row>
    <row r="77">
      <c r="B77" s="70"/>
      <c r="C77" s="70" t="s">
        <v>282</v>
      </c>
      <c r="D77" s="70">
        <v>3.0</v>
      </c>
      <c r="E77" s="70"/>
      <c r="F77" s="70">
        <v>3.0</v>
      </c>
      <c r="G77" s="70"/>
    </row>
    <row r="78">
      <c r="A78" s="70"/>
      <c r="B78" s="70"/>
      <c r="C78" s="76" t="s">
        <v>283</v>
      </c>
      <c r="D78" s="76">
        <v>2.0</v>
      </c>
      <c r="E78" s="70"/>
      <c r="F78" s="76">
        <v>2.0</v>
      </c>
      <c r="G78" s="70"/>
    </row>
    <row r="79">
      <c r="A79" s="70"/>
      <c r="B79" s="70"/>
      <c r="C79" s="76"/>
      <c r="D79" s="76"/>
      <c r="E79" s="70"/>
      <c r="F79" s="76"/>
      <c r="G79" s="70"/>
    </row>
    <row r="80">
      <c r="A80" s="70"/>
      <c r="B80" s="70"/>
      <c r="C80" s="76"/>
      <c r="D80" s="76"/>
      <c r="E80" s="70"/>
      <c r="F80" s="76"/>
      <c r="G80" s="70"/>
    </row>
    <row r="81">
      <c r="A81" s="70"/>
      <c r="B81" s="70"/>
      <c r="C81" s="76"/>
      <c r="D81" s="76"/>
      <c r="E81" s="70"/>
      <c r="F81" s="76"/>
      <c r="G81" s="70"/>
    </row>
    <row r="82">
      <c r="A82" s="70"/>
      <c r="B82" s="70"/>
      <c r="C82" s="76"/>
      <c r="D82" s="76"/>
      <c r="E82" s="70"/>
      <c r="F82" s="76"/>
      <c r="G82" s="70"/>
    </row>
    <row r="83">
      <c r="A83" s="70"/>
      <c r="B83" s="70"/>
      <c r="C83" s="76"/>
      <c r="D83" s="76"/>
      <c r="E83" s="70"/>
      <c r="F83" s="76"/>
      <c r="G83" s="70"/>
    </row>
    <row r="84">
      <c r="A84" s="70"/>
      <c r="B84" s="70"/>
      <c r="C84" s="76"/>
      <c r="D84" s="76"/>
      <c r="E84" s="70"/>
      <c r="F84" s="76"/>
      <c r="G84" s="70"/>
    </row>
  </sheetData>
  <hyperlinks>
    <hyperlink r:id="rId1" ref="A1"/>
  </hyperlinks>
  <printOptions gridLines="1" horizontalCentered="1"/>
  <pageMargins bottom="0.75" footer="0.0" header="0.0" left="0.7" right="0.7" top="0.75"/>
  <pageSetup fitToHeight="0" cellComments="atEnd" orientation="landscape" pageOrder="overThenDown"/>
  <drawing r:id="rId2"/>
  <tableParts count="1">
    <tablePart r:id="rId4"/>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2.75"/>
  <sheetData/>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4" width="40.13"/>
  </cols>
  <sheetData>
    <row r="1">
      <c r="A1" s="94" t="s">
        <v>59</v>
      </c>
      <c r="B1" s="46" t="s">
        <v>284</v>
      </c>
      <c r="C1" s="46" t="s">
        <v>285</v>
      </c>
      <c r="D1" s="95" t="s">
        <v>286</v>
      </c>
    </row>
    <row r="2">
      <c r="A2" s="3"/>
      <c r="B2" s="3"/>
      <c r="C2" s="3"/>
      <c r="D2" s="3"/>
    </row>
    <row r="3">
      <c r="A3" s="3"/>
      <c r="B3" s="96" t="s">
        <v>287</v>
      </c>
      <c r="C3" s="97" t="s">
        <v>288</v>
      </c>
      <c r="D3" s="97" t="s">
        <v>289</v>
      </c>
    </row>
    <row r="4">
      <c r="A4" s="3"/>
      <c r="B4" s="3"/>
      <c r="C4" s="3"/>
      <c r="D4" s="3"/>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290</v>
      </c>
      <c r="B1" s="4" t="s">
        <v>291</v>
      </c>
    </row>
    <row r="2">
      <c r="A2" s="2" t="s">
        <v>292</v>
      </c>
      <c r="B2" s="5" t="s">
        <v>293</v>
      </c>
    </row>
    <row r="3">
      <c r="A3" s="2" t="s">
        <v>294</v>
      </c>
      <c r="B3" s="5" t="s">
        <v>295</v>
      </c>
    </row>
    <row r="4">
      <c r="A4" s="2" t="s">
        <v>296</v>
      </c>
      <c r="B4" s="5" t="s">
        <v>297</v>
      </c>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hyperlinks>
    <hyperlink r:id="rId1" ref="B2"/>
    <hyperlink r:id="rId2" ref="B3"/>
    <hyperlink r:id="rId3" ref="B4"/>
  </hyperlinks>
  <drawing r:id="rId4"/>
  <tableParts count="1">
    <tablePart r:id="rId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31.5"/>
    <col customWidth="1" min="3" max="3" width="37.63"/>
    <col customWidth="1" min="4" max="4" width="9.5"/>
    <col customWidth="1" min="5" max="5" width="26.38"/>
    <col customWidth="1" min="6" max="6" width="37.63"/>
  </cols>
  <sheetData>
    <row r="1">
      <c r="A1" s="7" t="s">
        <v>59</v>
      </c>
      <c r="B1" s="4" t="s">
        <v>298</v>
      </c>
      <c r="C1" s="4" t="s">
        <v>299</v>
      </c>
      <c r="D1" s="4" t="s">
        <v>300</v>
      </c>
      <c r="E1" s="4" t="s">
        <v>301</v>
      </c>
      <c r="F1" s="4" t="s">
        <v>66</v>
      </c>
    </row>
    <row r="2">
      <c r="A2" s="3"/>
      <c r="B2" s="98" t="s">
        <v>302</v>
      </c>
      <c r="C2" s="98" t="s">
        <v>303</v>
      </c>
      <c r="D2" s="98">
        <v>3.11</v>
      </c>
      <c r="E2" s="96" t="s">
        <v>304</v>
      </c>
      <c r="F2" s="99"/>
    </row>
    <row r="3">
      <c r="A3" s="3"/>
      <c r="B3" s="98" t="s">
        <v>305</v>
      </c>
      <c r="C3" s="98" t="s">
        <v>306</v>
      </c>
      <c r="D3" s="98" t="s">
        <v>307</v>
      </c>
      <c r="E3" s="96" t="s">
        <v>308</v>
      </c>
      <c r="F3" s="100"/>
    </row>
    <row r="4">
      <c r="A4" s="3"/>
      <c r="B4" s="98" t="s">
        <v>309</v>
      </c>
      <c r="C4" s="98" t="s">
        <v>310</v>
      </c>
      <c r="D4" s="96">
        <v>9.7</v>
      </c>
      <c r="E4" s="96" t="s">
        <v>311</v>
      </c>
      <c r="F4" s="100"/>
    </row>
    <row r="5">
      <c r="A5" s="3"/>
      <c r="B5" s="98" t="s">
        <v>312</v>
      </c>
      <c r="C5" s="98" t="s">
        <v>313</v>
      </c>
      <c r="D5" s="98" t="s">
        <v>69</v>
      </c>
      <c r="E5" s="96" t="s">
        <v>314</v>
      </c>
      <c r="F5" s="100"/>
    </row>
    <row r="6">
      <c r="A6" s="3"/>
      <c r="B6" s="96" t="s">
        <v>315</v>
      </c>
      <c r="C6" s="98" t="s">
        <v>316</v>
      </c>
      <c r="D6" s="98" t="s">
        <v>317</v>
      </c>
      <c r="E6" s="96" t="s">
        <v>311</v>
      </c>
      <c r="F6" s="100"/>
    </row>
    <row r="7">
      <c r="A7" s="3"/>
      <c r="B7" s="98" t="s">
        <v>318</v>
      </c>
      <c r="C7" s="98" t="s">
        <v>319</v>
      </c>
      <c r="D7" s="98">
        <v>19.01</v>
      </c>
      <c r="E7" s="96" t="s">
        <v>308</v>
      </c>
      <c r="F7" s="100"/>
    </row>
    <row r="8">
      <c r="A8" s="3"/>
      <c r="B8" s="98" t="s">
        <v>320</v>
      </c>
      <c r="C8" s="98" t="s">
        <v>321</v>
      </c>
      <c r="D8" s="98" t="s">
        <v>322</v>
      </c>
      <c r="E8" s="98" t="s">
        <v>308</v>
      </c>
      <c r="F8" s="100"/>
    </row>
    <row r="9">
      <c r="A9" s="3"/>
      <c r="B9" s="98" t="s">
        <v>323</v>
      </c>
      <c r="C9" s="98" t="s">
        <v>324</v>
      </c>
      <c r="D9" s="98">
        <v>4.0</v>
      </c>
      <c r="E9" s="98" t="s">
        <v>308</v>
      </c>
      <c r="F9" s="100"/>
    </row>
    <row r="10">
      <c r="A10" s="3"/>
      <c r="B10" s="28" t="s">
        <v>325</v>
      </c>
      <c r="C10" s="98" t="s">
        <v>326</v>
      </c>
      <c r="D10" s="92">
        <v>7.0</v>
      </c>
      <c r="E10" s="98" t="s">
        <v>327</v>
      </c>
      <c r="F10" s="100"/>
    </row>
    <row r="11">
      <c r="A11" s="3"/>
      <c r="B11" s="28" t="s">
        <v>328</v>
      </c>
      <c r="C11" s="28" t="s">
        <v>329</v>
      </c>
      <c r="D11" s="92">
        <v>24.0</v>
      </c>
      <c r="E11" s="28" t="s">
        <v>311</v>
      </c>
      <c r="F11" s="100"/>
    </row>
    <row r="12">
      <c r="A12" s="3"/>
      <c r="B12" s="28" t="s">
        <v>330</v>
      </c>
      <c r="C12" s="28" t="s">
        <v>331</v>
      </c>
      <c r="D12" s="28" t="s">
        <v>332</v>
      </c>
      <c r="E12" s="28" t="s">
        <v>311</v>
      </c>
      <c r="F12" s="100"/>
    </row>
    <row r="13">
      <c r="A13" s="3"/>
      <c r="B13" s="98" t="s">
        <v>333</v>
      </c>
      <c r="C13" s="98" t="s">
        <v>334</v>
      </c>
      <c r="D13" s="98" t="s">
        <v>335</v>
      </c>
      <c r="E13" s="98" t="s">
        <v>336</v>
      </c>
      <c r="F13" s="100"/>
    </row>
    <row r="14">
      <c r="A14" s="3"/>
      <c r="B14" s="98" t="s">
        <v>333</v>
      </c>
      <c r="C14" s="98" t="s">
        <v>337</v>
      </c>
      <c r="D14" s="98" t="s">
        <v>338</v>
      </c>
      <c r="E14" s="98" t="s">
        <v>336</v>
      </c>
      <c r="F14" s="100"/>
    </row>
    <row r="15">
      <c r="A15" s="3"/>
      <c r="B15" s="28" t="s">
        <v>339</v>
      </c>
      <c r="C15" s="98" t="s">
        <v>340</v>
      </c>
      <c r="D15" s="98" t="s">
        <v>341</v>
      </c>
      <c r="E15" s="98" t="s">
        <v>336</v>
      </c>
      <c r="F15" s="100"/>
    </row>
    <row r="16">
      <c r="A16" s="3"/>
      <c r="B16" s="98" t="s">
        <v>342</v>
      </c>
      <c r="C16" s="98" t="s">
        <v>343</v>
      </c>
      <c r="D16" s="98" t="s">
        <v>344</v>
      </c>
      <c r="E16" s="98" t="s">
        <v>336</v>
      </c>
      <c r="F16" s="100"/>
    </row>
    <row r="17">
      <c r="A17" s="3"/>
      <c r="B17" s="100"/>
      <c r="C17" s="100"/>
      <c r="D17" s="100"/>
      <c r="E17" s="100"/>
      <c r="F17" s="100"/>
    </row>
    <row r="18">
      <c r="A18" s="3"/>
      <c r="B18" s="100"/>
      <c r="C18" s="100"/>
      <c r="D18" s="100"/>
      <c r="E18" s="100"/>
      <c r="F18" s="100"/>
    </row>
    <row r="19">
      <c r="A19" s="3"/>
      <c r="B19" s="100"/>
      <c r="C19" s="100"/>
      <c r="D19" s="100"/>
      <c r="E19" s="100"/>
      <c r="F19" s="100"/>
    </row>
    <row r="20">
      <c r="A20" s="3"/>
      <c r="B20" s="100"/>
      <c r="C20" s="100"/>
      <c r="D20" s="100"/>
      <c r="E20" s="100"/>
      <c r="F20" s="100"/>
    </row>
    <row r="21">
      <c r="A21" s="3"/>
      <c r="B21" s="100"/>
      <c r="C21" s="100"/>
      <c r="D21" s="100"/>
      <c r="E21" s="100"/>
      <c r="F21" s="100"/>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01" t="str">
        <f>'Project Team'!A1</f>
        <v>Last Name</v>
      </c>
      <c r="B1" s="101" t="str">
        <f>'Project Team'!B1</f>
        <v>First Name</v>
      </c>
      <c r="C1" s="102" t="s">
        <v>345</v>
      </c>
      <c r="D1" s="103"/>
      <c r="E1" s="104"/>
      <c r="F1" s="105"/>
      <c r="G1" s="106"/>
      <c r="H1" s="106"/>
    </row>
    <row r="2">
      <c r="A2" s="107" t="str">
        <f>'Project Team'!A1</f>
        <v>Last Name</v>
      </c>
      <c r="B2" s="107" t="str">
        <f>#REF!</f>
        <v>#REF!</v>
      </c>
      <c r="C2" s="108"/>
      <c r="D2" s="109"/>
      <c r="E2" s="110" t="str">
        <f>average(C2:C10)</f>
        <v>#DIV/0!</v>
      </c>
      <c r="F2" s="111" t="str">
        <f>if(stdev(C2:C7) &gt; 0,"NOK", "OK")</f>
        <v>#DIV/0!</v>
      </c>
      <c r="G2" s="112"/>
      <c r="H2" s="112"/>
    </row>
    <row r="3">
      <c r="A3" s="113" t="str">
        <f t="shared" ref="A3:B3" si="1">#REF!</f>
        <v>#REF!</v>
      </c>
      <c r="B3" s="113" t="str">
        <f t="shared" si="1"/>
        <v>#REF!</v>
      </c>
      <c r="C3" s="108"/>
      <c r="D3" s="114"/>
      <c r="G3" s="115"/>
      <c r="H3" s="115"/>
    </row>
    <row r="4">
      <c r="A4" s="107" t="str">
        <f>'Project Team'!A3</f>
        <v>Justus</v>
      </c>
      <c r="B4" s="107" t="str">
        <f>'Project Team'!B3</f>
        <v>Kleinau</v>
      </c>
      <c r="C4" s="108"/>
      <c r="D4" s="109"/>
      <c r="G4" s="112"/>
      <c r="H4" s="112"/>
    </row>
    <row r="5">
      <c r="A5" s="113" t="str">
        <f t="shared" ref="A5:B5" si="2">#REF!</f>
        <v>#REF!</v>
      </c>
      <c r="B5" s="113" t="str">
        <f t="shared" si="2"/>
        <v>#REF!</v>
      </c>
      <c r="C5" s="108"/>
      <c r="D5" s="116"/>
      <c r="E5" s="116"/>
      <c r="F5" s="116"/>
      <c r="G5" s="115"/>
      <c r="H5" s="115"/>
    </row>
    <row r="6">
      <c r="A6" s="107" t="str">
        <f>'Project Team'!A4</f>
        <v>Harms</v>
      </c>
      <c r="B6" s="107" t="str">
        <f>'Project Team'!B4</f>
        <v>Finn</v>
      </c>
      <c r="C6" s="108"/>
      <c r="D6" s="117"/>
      <c r="E6" s="118">
        <v>0.0</v>
      </c>
      <c r="F6" s="119" t="s">
        <v>346</v>
      </c>
      <c r="G6" s="112"/>
      <c r="H6" s="112"/>
    </row>
    <row r="7">
      <c r="A7" s="113" t="str">
        <f>'Project Team'!A5</f>
        <v>Karkani</v>
      </c>
      <c r="B7" s="113" t="str">
        <f>'Project Team'!B5</f>
        <v>Despoina</v>
      </c>
      <c r="C7" s="120"/>
      <c r="D7" s="116"/>
      <c r="E7" s="118">
        <v>1.0</v>
      </c>
      <c r="F7" s="119" t="s">
        <v>347</v>
      </c>
      <c r="G7" s="115"/>
      <c r="H7" s="115"/>
    </row>
    <row r="8">
      <c r="A8" s="107" t="str">
        <f>'Project Team'!A6</f>
        <v>Karmokar</v>
      </c>
      <c r="B8" s="107" t="str">
        <f>'Project Team'!B6</f>
        <v>Subroto</v>
      </c>
      <c r="C8" s="108"/>
      <c r="D8" s="117"/>
      <c r="E8" s="118">
        <v>2.0</v>
      </c>
      <c r="F8" s="119" t="s">
        <v>348</v>
      </c>
      <c r="G8" s="112"/>
      <c r="H8" s="112"/>
    </row>
    <row r="9">
      <c r="A9" s="113" t="str">
        <f>'Project Team'!A8</f>
        <v>Uddin</v>
      </c>
      <c r="B9" s="113" t="str">
        <f>'Project Team'!B8</f>
        <v>Md Fahim</v>
      </c>
      <c r="C9" s="108"/>
      <c r="D9" s="116"/>
      <c r="E9" s="118">
        <v>3.0</v>
      </c>
      <c r="F9" s="119" t="s">
        <v>349</v>
      </c>
      <c r="G9" s="115"/>
      <c r="H9" s="115"/>
    </row>
    <row r="10">
      <c r="A10" s="107" t="str">
        <f>'Project Team'!A9</f>
        <v>Khanam</v>
      </c>
      <c r="B10" s="107" t="str">
        <f>'Project Team'!B9</f>
        <v>Faria Rahman</v>
      </c>
      <c r="C10" s="108"/>
      <c r="D10" s="117"/>
      <c r="E10" s="118">
        <v>5.0</v>
      </c>
      <c r="F10" s="119" t="s">
        <v>350</v>
      </c>
      <c r="G10" s="112"/>
      <c r="H10" s="112"/>
    </row>
    <row r="11">
      <c r="A11" s="121" t="s">
        <v>54</v>
      </c>
      <c r="B11" s="121" t="s">
        <v>55</v>
      </c>
      <c r="C11" s="108"/>
      <c r="D11" s="116"/>
      <c r="E11" s="118">
        <v>8.0</v>
      </c>
      <c r="F11" s="119" t="s">
        <v>351</v>
      </c>
      <c r="G11" s="115"/>
      <c r="H11" s="115"/>
    </row>
    <row r="12">
      <c r="A12" s="107"/>
      <c r="B12" s="107"/>
      <c r="C12" s="120"/>
      <c r="D12" s="117"/>
      <c r="E12" s="118">
        <v>13.0</v>
      </c>
      <c r="F12" s="119" t="s">
        <v>352</v>
      </c>
      <c r="G12" s="112"/>
      <c r="H12" s="112"/>
    </row>
    <row r="13">
      <c r="A13" s="113"/>
      <c r="B13" s="113"/>
      <c r="C13" s="116"/>
      <c r="D13" s="116"/>
      <c r="E13" s="116"/>
      <c r="F13" s="116"/>
      <c r="G13" s="115"/>
      <c r="H13" s="115"/>
    </row>
    <row r="14">
      <c r="A14" s="122" t="s">
        <v>353</v>
      </c>
      <c r="B14" s="123"/>
      <c r="C14" s="123"/>
      <c r="D14" s="123"/>
      <c r="E14" s="123"/>
      <c r="F14" s="123"/>
      <c r="G14" s="123"/>
      <c r="H14" s="123"/>
    </row>
    <row r="15">
      <c r="A15" s="124"/>
      <c r="B15" s="124"/>
      <c r="C15" s="124"/>
      <c r="D15" s="124"/>
      <c r="E15" s="124"/>
      <c r="F15" s="124"/>
      <c r="G15" s="124"/>
      <c r="H15" s="124"/>
    </row>
    <row r="16">
      <c r="A16" s="125" t="s">
        <v>354</v>
      </c>
      <c r="B16" s="126"/>
      <c r="C16" s="126"/>
      <c r="D16" s="126"/>
      <c r="E16" s="126"/>
      <c r="F16" s="126"/>
      <c r="G16" s="126"/>
      <c r="H16" s="126"/>
    </row>
    <row r="17">
      <c r="A17" s="127" t="s">
        <v>355</v>
      </c>
      <c r="B17" s="124"/>
      <c r="C17" s="124"/>
      <c r="D17" s="124"/>
      <c r="E17" s="124"/>
      <c r="F17" s="124"/>
      <c r="G17" s="124"/>
      <c r="H17" s="124"/>
    </row>
    <row r="18">
      <c r="A18" s="125" t="s">
        <v>356</v>
      </c>
      <c r="B18" s="126"/>
      <c r="C18" s="126"/>
      <c r="D18" s="126"/>
      <c r="E18" s="126"/>
      <c r="F18" s="126"/>
      <c r="G18" s="126"/>
      <c r="H18" s="126"/>
    </row>
    <row r="19">
      <c r="A19" s="124"/>
      <c r="B19" s="124"/>
      <c r="C19" s="124"/>
      <c r="D19" s="124"/>
      <c r="E19" s="124"/>
      <c r="F19" s="124"/>
      <c r="G19" s="124"/>
      <c r="H19" s="124"/>
    </row>
    <row r="20">
      <c r="A20" s="126"/>
      <c r="B20" s="126"/>
      <c r="C20" s="126"/>
      <c r="D20" s="126"/>
      <c r="E20" s="126"/>
      <c r="F20" s="126"/>
      <c r="G20" s="126"/>
      <c r="H20" s="126"/>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